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DEF91E2B-BB71-4CF1-89B2-080F4EA6DF67}" xr6:coauthVersionLast="47" xr6:coauthVersionMax="47" xr10:uidLastSave="{00000000-0000-0000-0000-000000000000}"/>
  <bookViews>
    <workbookView xWindow="0" yWindow="0" windowWidth="16384" windowHeight="8192" firstSheet="1" activeTab="1" xr2:uid="{00000000-000D-0000-FFFF-FFFF00000000}"/>
  </bookViews>
  <sheets>
    <sheet name="Dados" sheetId="1" r:id="rId1"/>
    <sheet name="Q1_Evolucao" sheetId="3" r:id="rId2"/>
    <sheet name="Q2_Genero" sheetId="4" r:id="rId3"/>
    <sheet name="Q3_Faixas" sheetId="5" r:id="rId4"/>
    <sheet name="Q4_Rendimentos" sheetId="6" r:id="rId5"/>
    <sheet name="Q5_Media" sheetId="7" r:id="rId6"/>
  </sheets>
  <definedNames>
    <definedName name="_xlnm._FilterDatabase" localSheetId="0" hidden="1">Dados!$A$1:$AR$294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7" l="1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C3" i="6"/>
  <c r="B3" i="6"/>
  <c r="C2" i="6"/>
  <c r="B2" i="6"/>
  <c r="C6" i="5"/>
  <c r="B6" i="5"/>
  <c r="C5" i="5"/>
  <c r="B5" i="5"/>
  <c r="C4" i="5"/>
  <c r="B4" i="5"/>
  <c r="C3" i="5"/>
  <c r="B3" i="5"/>
  <c r="C2" i="5"/>
  <c r="B2" i="5"/>
  <c r="C3" i="4"/>
  <c r="B3" i="4"/>
  <c r="C2" i="4"/>
  <c r="B2" i="4"/>
  <c r="C7" i="3"/>
  <c r="B7" i="3"/>
  <c r="C6" i="3"/>
  <c r="B6" i="3"/>
  <c r="C5" i="3"/>
  <c r="B5" i="3"/>
  <c r="C4" i="3"/>
  <c r="B4" i="3"/>
  <c r="C3" i="3"/>
  <c r="B3" i="3"/>
  <c r="C2" i="3"/>
  <c r="B2" i="3"/>
  <c r="C7" i="5" l="1"/>
  <c r="B7" i="5"/>
  <c r="D9" i="7"/>
  <c r="B9" i="7"/>
  <c r="E9" i="7"/>
  <c r="C9" i="7"/>
</calcChain>
</file>

<file path=xl/sharedStrings.xml><?xml version="1.0" encoding="utf-8"?>
<sst xmlns="http://schemas.openxmlformats.org/spreadsheetml/2006/main" count="658" uniqueCount="116">
  <si>
    <t>Ano-Calendário</t>
  </si>
  <si>
    <t>Gênero</t>
  </si>
  <si>
    <t>Faixa SM Mensal</t>
  </si>
  <si>
    <t>Quantidade de Declarantes</t>
  </si>
  <si>
    <t>Rendimentos Tributáveis</t>
  </si>
  <si>
    <t>Rendimentos sujeitos a Tributação Exclusiva</t>
  </si>
  <si>
    <t>Rendimentos Isentos</t>
  </si>
  <si>
    <t>Dedução Previdenciária Total</t>
  </si>
  <si>
    <t>Deduções Previdência Oficial</t>
  </si>
  <si>
    <t>Deduções Previdenciárias RRA</t>
  </si>
  <si>
    <t>Deduções Previdência Privada e FAPI</t>
  </si>
  <si>
    <t>Deduções com Dependentes</t>
  </si>
  <si>
    <t>Deduções com Instrução</t>
  </si>
  <si>
    <t>Deduções com despesas Médicas</t>
  </si>
  <si>
    <t>Dedução de Livro Caixa</t>
  </si>
  <si>
    <t>Deduções  com Pensão Alimentícia Total</t>
  </si>
  <si>
    <t>Deduções com Pensão Alimentícia Judicial</t>
  </si>
  <si>
    <t>Deduções com Pensão Alimentícia Escritural</t>
  </si>
  <si>
    <t>Deduções com Pensão Alimentícia RRA</t>
  </si>
  <si>
    <t>Desconto Padrão</t>
  </si>
  <si>
    <t>Base de Cálculo (RTL)</t>
  </si>
  <si>
    <t>Imposto Devido</t>
  </si>
  <si>
    <t>Dedução de Incentivo</t>
  </si>
  <si>
    <t>Imposto Devido 1</t>
  </si>
  <si>
    <t>Imposto Devido RRA</t>
  </si>
  <si>
    <t>Imposto Devido Total</t>
  </si>
  <si>
    <t>Imposto Pago</t>
  </si>
  <si>
    <t>Imposto a Pagar</t>
  </si>
  <si>
    <t>Imposto a Restituir</t>
  </si>
  <si>
    <t>Dívidas   e Ônus</t>
  </si>
  <si>
    <t>Doações e Heranças Recebidas</t>
  </si>
  <si>
    <t>Bens e Direitos</t>
  </si>
  <si>
    <t>Previdência Complementar (VGBL)</t>
  </si>
  <si>
    <t>Valores Pagos com Previdência Complementar (PGBL)</t>
  </si>
  <si>
    <t>Valores Pagos com Previdência Complementar de Natureza Pública</t>
  </si>
  <si>
    <t>Valores Pagos com FAPI</t>
  </si>
  <si>
    <t>Despesas com Instrução</t>
  </si>
  <si>
    <t>Despesas Médicas</t>
  </si>
  <si>
    <t>Pensão Alimentícia Judicial</t>
  </si>
  <si>
    <t>Despesas com Pensão Alimentícia Escritural</t>
  </si>
  <si>
    <t>Despesas com Profissionais Liberais</t>
  </si>
  <si>
    <t>Despesas com Arrendamento Rural</t>
  </si>
  <si>
    <t>Outras Despesas</t>
  </si>
  <si>
    <t>Doações Efetuadas</t>
  </si>
  <si>
    <t>Masculino</t>
  </si>
  <si>
    <t>Até 1/2</t>
  </si>
  <si>
    <t>De 1/2 a 1</t>
  </si>
  <si>
    <t>De 1 a 2</t>
  </si>
  <si>
    <t>De 2 a 3</t>
  </si>
  <si>
    <t>De 3 a 5</t>
  </si>
  <si>
    <t>De 5 a 7</t>
  </si>
  <si>
    <t>De 7 a 10</t>
  </si>
  <si>
    <t>De 10 a 15</t>
  </si>
  <si>
    <t>De 15 a 20</t>
  </si>
  <si>
    <t>De 20 a 30</t>
  </si>
  <si>
    <t>De 30 a 40</t>
  </si>
  <si>
    <t>De 40 a 60</t>
  </si>
  <si>
    <t>De 60 a 80</t>
  </si>
  <si>
    <t>De 80 a 160</t>
  </si>
  <si>
    <t>De 160 a 240</t>
  </si>
  <si>
    <t>De 240 a 320</t>
  </si>
  <si>
    <t>Mais de 320</t>
  </si>
  <si>
    <t>Feminino</t>
  </si>
  <si>
    <t>Não declarado</t>
  </si>
  <si>
    <t>Todas</t>
  </si>
  <si>
    <t>até 1/2</t>
  </si>
  <si>
    <t>de 1/2 a 1</t>
  </si>
  <si>
    <t xml:space="preserve">de 1 a 2 </t>
  </si>
  <si>
    <t xml:space="preserve">de 2 a 3 </t>
  </si>
  <si>
    <t xml:space="preserve">de 3 a 5 </t>
  </si>
  <si>
    <t xml:space="preserve">de 5 a 7 </t>
  </si>
  <si>
    <t xml:space="preserve">de 7 a 10 </t>
  </si>
  <si>
    <t xml:space="preserve">de 10 a 15 </t>
  </si>
  <si>
    <t xml:space="preserve">de 15 a 20 </t>
  </si>
  <si>
    <t xml:space="preserve">de 20 a 30 </t>
  </si>
  <si>
    <t xml:space="preserve">de 30 a 40 </t>
  </si>
  <si>
    <t xml:space="preserve">de 40 a 60 </t>
  </si>
  <si>
    <t xml:space="preserve">de 60 a 80 </t>
  </si>
  <si>
    <t xml:space="preserve">de 80 a 160 </t>
  </si>
  <si>
    <t xml:space="preserve">de 160 a 240 </t>
  </si>
  <si>
    <t xml:space="preserve">de 240 a 320 </t>
  </si>
  <si>
    <t xml:space="preserve">mais de 320 </t>
  </si>
  <si>
    <t>Masculino/Feminino/Não declarado</t>
  </si>
  <si>
    <t>Mais de 1/2 a 1</t>
  </si>
  <si>
    <t xml:space="preserve">Mais de 1 a 2 </t>
  </si>
  <si>
    <t xml:space="preserve">Mais de 2 a 3 </t>
  </si>
  <si>
    <t xml:space="preserve">Mais de 3 a 5 </t>
  </si>
  <si>
    <t xml:space="preserve">Mais de 5 a 7 </t>
  </si>
  <si>
    <t xml:space="preserve">Mais de 7 a 10 </t>
  </si>
  <si>
    <t xml:space="preserve">Mais de 10 a 15 </t>
  </si>
  <si>
    <t xml:space="preserve">Mais de 15 a 20 </t>
  </si>
  <si>
    <t xml:space="preserve">Mais de 20 a 30 </t>
  </si>
  <si>
    <t xml:space="preserve">Mais de 30 a 40 </t>
  </si>
  <si>
    <t xml:space="preserve">Mais de 40 a 60 </t>
  </si>
  <si>
    <t xml:space="preserve">Mais de 60 a 80 </t>
  </si>
  <si>
    <t xml:space="preserve">Mais de 80 a 160 </t>
  </si>
  <si>
    <t xml:space="preserve">Mais de 160 a 240 </t>
  </si>
  <si>
    <t xml:space="preserve">Mais de 240 a 320 </t>
  </si>
  <si>
    <t xml:space="preserve">Mais de 320 </t>
  </si>
  <si>
    <t>Até 1/2 Salário Mín.</t>
  </si>
  <si>
    <t>1/2 a 1 Salário Mín.</t>
  </si>
  <si>
    <t>1 a 2 Salários Mín.</t>
  </si>
  <si>
    <t>2 a 3 Salários Mín.</t>
  </si>
  <si>
    <t>3 a 5 Salários Mín.</t>
  </si>
  <si>
    <t>5 a 10 Salários Mín.</t>
  </si>
  <si>
    <t>10 a 20 Salários Mín.</t>
  </si>
  <si>
    <t>20 a 40 Salários Mín.</t>
  </si>
  <si>
    <t>40 a 80 Salários Mín.</t>
  </si>
  <si>
    <t>80 a 160 Salários Mín.</t>
  </si>
  <si>
    <t>&gt; 160 Salários Mín.</t>
  </si>
  <si>
    <t>Fórmula</t>
  </si>
  <si>
    <t>Total até 5 salários mínimos</t>
  </si>
  <si>
    <t>Ano</t>
  </si>
  <si>
    <t>Fórmula Feminino</t>
  </si>
  <si>
    <t>Fórmula Masculino</t>
  </si>
  <si>
    <t>Média 2015–2020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</si>
</sst>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/>
    </xf>
    <xf numFmtId="3" fontId="0" fillId="0" borderId="0" xfId="0" applyNumberFormat="1"/>
    <xf numFmtId="0" fontId="3" fillId="0" borderId="0" xfId="0" applyFont="1"/>
    <xf numFmtId="3" fontId="3" fillId="0" borderId="0" xfId="0" applyNumberFormat="1" applyFont="1"/>
    <xf numFmtId="4" fontId="0" fillId="0" borderId="0" xfId="0" applyNumberFormat="1"/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64">
    <dxf>
      <numFmt numFmtId="3" formatCode="#,##0"/>
    </dxf>
    <dxf>
      <numFmt numFmtId="3" formatCode="#,##0"/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numFmt numFmtId="4" formatCode="#,##0.00"/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border outline="0">
        <bottom style="thin">
          <color rgb="FFD9E1F2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Evolução anual da quantidade de declarantes (2015–2020)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Q1_Evolucao!B1</c:f>
              <c:strCache>
                <c:ptCount val="1"/>
                <c:pt idx="0">
                  <c:v>Quantidade de Declarantes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Q1_Evolucao!$A$2:$A$7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Q1_Evolucao!$B$2:$B$7</c:f>
              <c:numCache>
                <c:formatCode>#,##0</c:formatCode>
                <c:ptCount val="6"/>
                <c:pt idx="0">
                  <c:v>27512125.868731499</c:v>
                </c:pt>
                <c:pt idx="1">
                  <c:v>28913626</c:v>
                </c:pt>
                <c:pt idx="2">
                  <c:v>29600355</c:v>
                </c:pt>
                <c:pt idx="3">
                  <c:v>30449617</c:v>
                </c:pt>
                <c:pt idx="4">
                  <c:v>30495796</c:v>
                </c:pt>
                <c:pt idx="5">
                  <c:v>31632151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B5-4A7E-9AD7-F2952DB0E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056128"/>
        <c:axId val="48919383"/>
      </c:lineChart>
      <c:catAx>
        <c:axId val="480561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8919383"/>
        <c:crosses val="autoZero"/>
        <c:auto val="1"/>
        <c:lblAlgn val="ctr"/>
        <c:lblOffset val="100"/>
        <c:noMultiLvlLbl val="0"/>
      </c:catAx>
      <c:valAx>
        <c:axId val="48919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Declarantes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80561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Declarantes por gênero em 2020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Q2_Genero!B1</c:f>
              <c:strCache>
                <c:ptCount val="1"/>
                <c:pt idx="0">
                  <c:v>Quantidade de Declarantes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Q2_Genero!$A$2:$A$3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Q2_Genero!$B$2:$B$3</c:f>
              <c:numCache>
                <c:formatCode>#,##0</c:formatCode>
                <c:ptCount val="2"/>
                <c:pt idx="0">
                  <c:v>13762031</c:v>
                </c:pt>
                <c:pt idx="1">
                  <c:v>17870120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4-4CA6-8F99-503C3C56E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063367"/>
        <c:axId val="14927654"/>
      </c:barChart>
      <c:catAx>
        <c:axId val="840633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Gênero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4927654"/>
        <c:crosses val="autoZero"/>
        <c:auto val="1"/>
        <c:lblAlgn val="ctr"/>
        <c:lblOffset val="100"/>
        <c:noMultiLvlLbl val="0"/>
      </c:catAx>
      <c:valAx>
        <c:axId val="14927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Declarantes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40633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Declarantes por faixa de renda — até 5 salários mínimos (2020)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Q3_Faixas!B1</c:f>
              <c:strCache>
                <c:ptCount val="1"/>
                <c:pt idx="0">
                  <c:v>Quantidade de Declarantes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Q3_Faixas!$A$2:$A$6</c:f>
              <c:strCache>
                <c:ptCount val="5"/>
                <c:pt idx="0">
                  <c:v>Até 1/2</c:v>
                </c:pt>
                <c:pt idx="1">
                  <c:v>De 1/2 a 1</c:v>
                </c:pt>
                <c:pt idx="2">
                  <c:v>De 1 a 2</c:v>
                </c:pt>
                <c:pt idx="3">
                  <c:v>De 2 a 3</c:v>
                </c:pt>
                <c:pt idx="4">
                  <c:v>De 3 a 5</c:v>
                </c:pt>
              </c:strCache>
            </c:strRef>
          </c:cat>
          <c:val>
            <c:numRef>
              <c:f>Q3_Faixas!$B$2:$B$6</c:f>
              <c:numCache>
                <c:formatCode>#,##0</c:formatCode>
                <c:ptCount val="5"/>
                <c:pt idx="0">
                  <c:v>3301933</c:v>
                </c:pt>
                <c:pt idx="1">
                  <c:v>2094637</c:v>
                </c:pt>
                <c:pt idx="2">
                  <c:v>7480081</c:v>
                </c:pt>
                <c:pt idx="3">
                  <c:v>6680718</c:v>
                </c:pt>
                <c:pt idx="4">
                  <c:v>5904544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2-4268-9762-805607D37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6383"/>
        <c:axId val="73390343"/>
      </c:barChart>
      <c:catAx>
        <c:axId val="15456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Faixa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3390343"/>
        <c:crosses val="autoZero"/>
        <c:auto val="1"/>
        <c:lblAlgn val="ctr"/>
        <c:lblOffset val="100"/>
        <c:noMultiLvlLbl val="0"/>
      </c:catAx>
      <c:valAx>
        <c:axId val="73390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Declarantes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5456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Rendimentos tributáveis por gênero — 2020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Q4_Rendimentos!B1</c:f>
              <c:strCache>
                <c:ptCount val="1"/>
                <c:pt idx="0">
                  <c:v>Rendimentos Tributáveis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Q4_Rendimentos!$A$2:$A$3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Q4_Rendimentos!$B$2:$B$3</c:f>
              <c:numCache>
                <c:formatCode>#,##0.00</c:formatCode>
                <c:ptCount val="2"/>
                <c:pt idx="0">
                  <c:v>826670.3185831001</c:v>
                </c:pt>
                <c:pt idx="1">
                  <c:v>1148602.2804989999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A-4C88-9798-885F1A77B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63333"/>
        <c:axId val="87870647"/>
      </c:barChart>
      <c:catAx>
        <c:axId val="94633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Gênero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7870647"/>
        <c:crosses val="autoZero"/>
        <c:auto val="1"/>
        <c:lblAlgn val="ctr"/>
        <c:lblOffset val="100"/>
        <c:noMultiLvlLbl val="0"/>
      </c:catAx>
      <c:valAx>
        <c:axId val="878706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Rendimentos tributáveis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4633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9</xdr:row>
      <xdr:rowOff>85725</xdr:rowOff>
    </xdr:from>
    <xdr:to>
      <xdr:col>2</xdr:col>
      <xdr:colOff>3174600</xdr:colOff>
      <xdr:row>24</xdr:row>
      <xdr:rowOff>107685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4</xdr:row>
      <xdr:rowOff>85725</xdr:rowOff>
    </xdr:from>
    <xdr:to>
      <xdr:col>2</xdr:col>
      <xdr:colOff>1885140</xdr:colOff>
      <xdr:row>19</xdr:row>
      <xdr:rowOff>107685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8</xdr:row>
      <xdr:rowOff>19050</xdr:rowOff>
    </xdr:from>
    <xdr:to>
      <xdr:col>2</xdr:col>
      <xdr:colOff>2050650</xdr:colOff>
      <xdr:row>23</xdr:row>
      <xdr:rowOff>41010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4</xdr:row>
      <xdr:rowOff>57150</xdr:rowOff>
    </xdr:from>
    <xdr:to>
      <xdr:col>2</xdr:col>
      <xdr:colOff>2637615</xdr:colOff>
      <xdr:row>19</xdr:row>
      <xdr:rowOff>79110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431817-EBE2-46A4-86A8-93A795F49735}" name="Tabela5" displayName="Tabela5" ref="A1:AR294" totalsRowShown="0" headerRowDxfId="63" dataDxfId="62" headerRowBorderDxfId="60" tableBorderDxfId="61">
  <autoFilter ref="A1:AR294" xr:uid="{00000000-0009-0000-0000-000000000000}"/>
  <tableColumns count="44">
    <tableColumn id="1" xr3:uid="{D76790CB-E25C-4DFD-98DC-6D453426E781}" name="Ano-Calendário" dataDxfId="59"/>
    <tableColumn id="2" xr3:uid="{BBCE81BA-7616-4233-86BE-C0CCB33401C8}" name="Gênero" dataDxfId="58"/>
    <tableColumn id="3" xr3:uid="{D83B7D01-76A6-454E-82CE-825FAB9DFFE0}" name="Faixa SM Mensal" dataDxfId="57"/>
    <tableColumn id="4" xr3:uid="{F6D31513-BB82-4E87-A09C-742EB33146B8}" name="Quantidade de Declarantes" dataDxfId="56"/>
    <tableColumn id="5" xr3:uid="{F5A8C738-DB24-4EFD-A4EA-56388AB57A27}" name="Rendimentos Tributáveis" dataDxfId="55"/>
    <tableColumn id="6" xr3:uid="{E41E73BE-6169-4EDA-9286-D471E38BCACD}" name="Rendimentos sujeitos a Tributação Exclusiva" dataDxfId="54"/>
    <tableColumn id="7" xr3:uid="{98F2FDE9-01D9-4DC9-BA51-F5A4AFC978B4}" name="Rendimentos Isentos" dataDxfId="53"/>
    <tableColumn id="8" xr3:uid="{F89ED487-63A4-438B-A3B4-9ED3A68AA7C0}" name="Dedução Previdenciária Total" dataDxfId="52"/>
    <tableColumn id="9" xr3:uid="{3A371845-3A09-412D-B01B-86FA9D6090C6}" name="Deduções Previdência Oficial" dataDxfId="51"/>
    <tableColumn id="10" xr3:uid="{A7ED86B8-335B-4C6A-820E-78F1476281A3}" name="Deduções Previdenciárias RRA" dataDxfId="50"/>
    <tableColumn id="11" xr3:uid="{B1F94DC7-F90A-4F3E-8C69-DE41276EE388}" name="Deduções Previdência Privada e FAPI" dataDxfId="49"/>
    <tableColumn id="12" xr3:uid="{AD3836B1-486E-4794-8C17-6110B723D74A}" name="Deduções com Dependentes" dataDxfId="48"/>
    <tableColumn id="13" xr3:uid="{1CCD8773-2F3C-4F7C-9CED-E68E98776A19}" name="Deduções com Instrução" dataDxfId="47"/>
    <tableColumn id="14" xr3:uid="{64AC69B8-F9C9-4B83-84AE-CF3A8CA4F724}" name="Deduções com despesas Médicas" dataDxfId="46"/>
    <tableColumn id="15" xr3:uid="{A3FDF9AA-BE4D-4A87-B10D-946E9DB8B6F0}" name="Dedução de Livro Caixa" dataDxfId="45"/>
    <tableColumn id="16" xr3:uid="{480B1203-ECB6-480E-9819-F09019FB4CA5}" name="Deduções  com Pensão Alimentícia Total" dataDxfId="44"/>
    <tableColumn id="17" xr3:uid="{523C5114-B762-4834-B551-B6BAB8376E8D}" name="Deduções com Pensão Alimentícia Judicial" dataDxfId="43"/>
    <tableColumn id="18" xr3:uid="{733C09A7-86EA-4157-8472-64B5C12636CE}" name="Deduções com Pensão Alimentícia Escritural" dataDxfId="42"/>
    <tableColumn id="19" xr3:uid="{F83C37BB-AB2E-4F8E-B7B4-FF4D3387909B}" name="Deduções com Pensão Alimentícia RRA" dataDxfId="41"/>
    <tableColumn id="20" xr3:uid="{E9C3400D-DCD6-4614-A764-6FAF00D416D5}" name="Desconto Padrão" dataDxfId="40"/>
    <tableColumn id="21" xr3:uid="{630EF15F-946A-49DA-A130-14FF88E8743B}" name="Base de Cálculo (RTL)" dataDxfId="39"/>
    <tableColumn id="22" xr3:uid="{F33B23FA-A960-490C-991B-3FE80AEBCA02}" name="Imposto Devido" dataDxfId="38"/>
    <tableColumn id="23" xr3:uid="{FC959363-5205-4A29-B9CC-11885197BD5E}" name="Dedução de Incentivo" dataDxfId="37"/>
    <tableColumn id="24" xr3:uid="{C5259A7C-78D6-4072-AEFA-981F00FC184F}" name="Imposto Devido 1" dataDxfId="36"/>
    <tableColumn id="25" xr3:uid="{F03822B9-B2FB-423E-B79E-B1231CF1DF15}" name="Imposto Devido RRA" dataDxfId="35"/>
    <tableColumn id="26" xr3:uid="{F91DFBEF-77F3-4A25-B55E-1E0BFC8F460C}" name="Imposto Devido Total" dataDxfId="34"/>
    <tableColumn id="27" xr3:uid="{8250EC15-F9B5-4017-B39C-2E3BA85E4483}" name="Imposto Pago" dataDxfId="33"/>
    <tableColumn id="28" xr3:uid="{20ECCF3E-E5AA-4C56-A913-4C229081C96B}" name="Imposto a Pagar" dataDxfId="32"/>
    <tableColumn id="29" xr3:uid="{B1C3FE57-BC24-4E2B-AF5E-C0FB4443E558}" name="Imposto a Restituir" dataDxfId="31"/>
    <tableColumn id="30" xr3:uid="{07093000-5536-4B0B-90AA-54682A001A27}" name="Dívidas   e Ônus" dataDxfId="30"/>
    <tableColumn id="31" xr3:uid="{CF50EEF4-1A9B-42E6-A7F7-765D7DF20FE5}" name="Doações e Heranças Recebidas" dataDxfId="29"/>
    <tableColumn id="32" xr3:uid="{7525AF72-88D0-4B46-90FD-5B1ACDEB94A2}" name="Bens e Direitos" dataDxfId="28"/>
    <tableColumn id="33" xr3:uid="{8CA53D38-A8B6-4C13-9050-9CBF3CAB71EE}" name="Previdência Complementar (VGBL)" dataDxfId="27"/>
    <tableColumn id="34" xr3:uid="{7D7510EE-BC36-4039-AC3E-519F34415BA4}" name="Valores Pagos com Previdência Complementar (PGBL)" dataDxfId="26"/>
    <tableColumn id="35" xr3:uid="{228247A0-32E3-4DE0-A9C3-428E98F6F981}" name="Valores Pagos com Previdência Complementar de Natureza Pública" dataDxfId="25"/>
    <tableColumn id="36" xr3:uid="{3302BB93-865D-4256-911D-89BCFD3318EF}" name="Valores Pagos com FAPI" dataDxfId="24"/>
    <tableColumn id="37" xr3:uid="{21679F8F-AB9C-4D4E-9BE5-CC7A610398A1}" name="Despesas com Instrução" dataDxfId="23"/>
    <tableColumn id="38" xr3:uid="{41915C6A-25C2-4D8E-8AAC-494CE1C4ABA4}" name="Despesas Médicas" dataDxfId="22"/>
    <tableColumn id="39" xr3:uid="{6A71C7E4-84E1-4011-B5AD-CCE871B51163}" name="Pensão Alimentícia Judicial" dataDxfId="21"/>
    <tableColumn id="40" xr3:uid="{FC018FC2-C666-4FFB-86F7-8B83333F77F6}" name="Despesas com Pensão Alimentícia Escritural" dataDxfId="20"/>
    <tableColumn id="41" xr3:uid="{4E63AF0F-8D64-493E-B32C-98EC53558BBA}" name="Despesas com Profissionais Liberais" dataDxfId="19"/>
    <tableColumn id="42" xr3:uid="{56BBDDAE-1C2A-4791-B325-F3F3D5851423}" name="Despesas com Arrendamento Rural" dataDxfId="18"/>
    <tableColumn id="43" xr3:uid="{8A7FD051-6BAD-45A2-977B-014B1E365D17}" name="Outras Despesas" dataDxfId="17"/>
    <tableColumn id="44" xr3:uid="{9E5AF1A5-A615-40BA-8DAE-068E5EE2933C}" name="Doações Efetuadas" dataDxfId="16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FF9631-3B2B-416D-A390-68A0A8546DB8}" name="Tabela6" displayName="Tabela6" ref="A1:C7" totalsRowShown="0" headerRowDxfId="15" headerRowBorderDxfId="14">
  <autoFilter ref="A1:C7" xr:uid="{78FF9631-3B2B-416D-A390-68A0A8546DB8}"/>
  <tableColumns count="3">
    <tableColumn id="1" xr3:uid="{E8507508-8D53-47C1-8A10-3B1274BD199B}" name="Ano-Calendário"/>
    <tableColumn id="2" xr3:uid="{0EF8AF87-1CCA-44F4-BE40-E06CDACF9E6B}" name="Quantidade de Declarantes" dataDxfId="13">
      <calculatedColumnFormula>SUMIFS(Dados!$D:$D,Dados!$A:$A,A2,Dados!$B:$B,"Masculino")+SUMIFS(Dados!$D:$D,Dados!$A:$A,A2,Dados!$B:$B,"Feminino")</calculatedColumnFormula>
    </tableColumn>
    <tableColumn id="3" xr3:uid="{C00D6BDD-C98E-4980-B8B4-DFFDFB705B42}" name="Fórmula">
      <calculatedColumnFormula>SUMIFS(Dados!$D:$D,Dados!$A:$A,A2,Dados!$B:$B,"Masculino")+SUMIFS(Dados!$D:$D,Dados!$A:$A,A2,Dados!$B:$B,"Feminino")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94743-4110-4651-8710-B631EBE38D5E}" name="Tabela1" displayName="Tabela1" ref="A1:C3" totalsRowShown="0" headerRowDxfId="12" headerRowBorderDxfId="11">
  <autoFilter ref="A1:C3" xr:uid="{71094743-4110-4651-8710-B631EBE38D5E}"/>
  <tableColumns count="3">
    <tableColumn id="1" xr3:uid="{8E1BB7F0-F60B-4CAF-B663-C50ECF335FC8}" name="Gênero"/>
    <tableColumn id="2" xr3:uid="{8CF7842B-8C8E-4F34-AB0F-C62DAD003C77}" name="Quantidade de Declarantes" dataDxfId="10">
      <calculatedColumnFormula>SUMIFS(Dados!$D:$D,Dados!$A:$A,2020,Dados!$B:$B,A2)</calculatedColumnFormula>
    </tableColumn>
    <tableColumn id="3" xr3:uid="{5D5701A3-C1C1-4C86-B1FD-8D7B5FE916C4}" name="Fórmula">
      <calculatedColumnFormula>SUMIFS(Dados!$D:$D,Dados!$A:$A,2020,Dados!$B:$B,A2)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24C11F-5A8E-44EF-AE35-D3A1AB577D16}" name="Tabela2" displayName="Tabela2" ref="A1:C6" totalsRowShown="0" headerRowDxfId="9" headerRowBorderDxfId="8">
  <autoFilter ref="A1:C6" xr:uid="{5524C11F-5A8E-44EF-AE35-D3A1AB577D16}"/>
  <tableColumns count="3">
    <tableColumn id="1" xr3:uid="{6E6819E4-0CCF-41C8-8DD3-46E96079C775}" name="Faixa SM Mensal"/>
    <tableColumn id="2" xr3:uid="{7382CD84-BC5B-4B4F-A1E6-2E536DA542C9}" name="Quantidade de Declarantes" dataDxfId="7">
      <calculatedColumnFormula>SUMIFS(Dados!$D:$D,Dados!$A:$A,2020,Dados!$C:$C,A2,Dados!$B:$B,"Masculino")+SUMIFS(Dados!$D:$D,Dados!$A:$A,2020,Dados!$C:$C,A2,Dados!$B:$B,"Feminino")</calculatedColumnFormula>
    </tableColumn>
    <tableColumn id="3" xr3:uid="{AD0E2D48-07CA-4D22-A963-1B1DBFB81C96}" name="Fórmula">
      <calculatedColumnFormula>SUMIFS(Dados!$D:$D,Dados!$A:$A,2020,Dados!$C:$C,A2,Dados!$B:$B,"Masculino")+SUMIFS(Dados!$D:$D,Dados!$A:$A,2020,Dados!$C:$C,A2,Dados!$B:$B,"Feminino")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183DDE-A886-4963-93F9-B5FFB9788592}" name="Tabela3" displayName="Tabela3" ref="A1:C3" totalsRowShown="0" headerRowDxfId="6" headerRowBorderDxfId="5">
  <autoFilter ref="A1:C3" xr:uid="{D6183DDE-A886-4963-93F9-B5FFB9788592}"/>
  <tableColumns count="3">
    <tableColumn id="1" xr3:uid="{14B25743-E87E-4ABC-AB37-E46D8C9C614F}" name="Gênero"/>
    <tableColumn id="2" xr3:uid="{5E7EDF43-F008-4AE8-B790-837B3BCC1C31}" name="Rendimentos Tributáveis" dataDxfId="4">
      <calculatedColumnFormula>SUMIFS(Dados!$E:$E,Dados!$A:$A,2020,Dados!$B:$B,A2)</calculatedColumnFormula>
    </tableColumn>
    <tableColumn id="3" xr3:uid="{BA3D893B-05BB-4961-AD70-5C076FF33F5B}" name="Fórmula">
      <calculatedColumnFormula>SUMIFS(Dados!$E:$E,Dados!$A:$A,2020,Dados!$B:$B,A2)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10B5B4-4B84-4F30-BBE4-69A4A8009CA4}" name="Tabela4" displayName="Tabela4" ref="A1:E7" totalsRowShown="0" headerRowDxfId="3" headerRowBorderDxfId="2">
  <autoFilter ref="A1:E7" xr:uid="{3410B5B4-4B84-4F30-BBE4-69A4A8009CA4}"/>
  <tableColumns count="5">
    <tableColumn id="1" xr3:uid="{99157C60-C319-4857-B2D9-26A8E2DB578B}" name="Ano"/>
    <tableColumn id="2" xr3:uid="{6E7310FF-2062-4BAC-9819-3AEC3F9450EF}" name="Feminino" dataDxfId="1">
      <calculatedColumnFormula>SUMIFS(Dados!$D:$D,Dados!$A:$A,A2,Dados!$B:$B,"Feminino")</calculatedColumnFormula>
    </tableColumn>
    <tableColumn id="3" xr3:uid="{8912A553-9E1F-488B-90BE-F79FC6F87037}" name="Masculino" dataDxfId="0">
      <calculatedColumnFormula>SUMIFS(Dados!$D:$D,Dados!$A:$A,A2,Dados!$B:$B,"Masculino")</calculatedColumnFormula>
    </tableColumn>
    <tableColumn id="4" xr3:uid="{27B8B375-0F12-4E14-85D1-4355383A2255}" name="Fórmula Feminino">
      <calculatedColumnFormula>SUMIFS(Dados!$D:$D,Dados!$A:$A,A2,Dados!$B:$B,"Feminino")</calculatedColumnFormula>
    </tableColumn>
    <tableColumn id="5" xr3:uid="{FD29B7C7-A7CA-4C48-A96A-9EAC072EE274}" name="Fórmula Masculino">
      <calculatedColumnFormula>SUMIFS(Dados!$D:$D,Dados!$A:$A,A2,Dados!$B:$B,"Masculino")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94"/>
  <sheetViews>
    <sheetView zoomScaleNormal="100" workbookViewId="0">
      <pane ySplit="1" topLeftCell="A2" activePane="bottomLeft" state="frozen"/>
      <selection pane="bottomLeft" sqref="A1:AR1"/>
    </sheetView>
  </sheetViews>
  <sheetFormatPr defaultColWidth="8.7109375" defaultRowHeight="15" customHeight="1"/>
  <cols>
    <col min="1" max="1" width="17.42578125" bestFit="1" customWidth="1"/>
    <col min="2" max="2" width="33.140625" bestFit="1" customWidth="1"/>
    <col min="3" max="3" width="20.5703125" bestFit="1" customWidth="1"/>
    <col min="4" max="4" width="28.28515625" bestFit="1" customWidth="1"/>
    <col min="5" max="5" width="25.85546875" bestFit="1" customWidth="1"/>
    <col min="6" max="6" width="43.42578125" bestFit="1" customWidth="1"/>
    <col min="7" max="7" width="22.42578125" bestFit="1" customWidth="1"/>
    <col min="8" max="9" width="30" customWidth="1"/>
    <col min="10" max="10" width="30.85546875" bestFit="1" customWidth="1"/>
    <col min="11" max="11" width="36.85546875" bestFit="1" customWidth="1"/>
    <col min="12" max="12" width="29.28515625" bestFit="1" customWidth="1"/>
    <col min="13" max="13" width="25.5703125" bestFit="1" customWidth="1"/>
    <col min="14" max="14" width="33.5703125" bestFit="1" customWidth="1"/>
    <col min="15" max="15" width="24.42578125" bestFit="1" customWidth="1"/>
    <col min="16" max="16" width="40" bestFit="1" customWidth="1"/>
    <col min="17" max="17" width="41.85546875" bestFit="1" customWidth="1"/>
    <col min="18" max="18" width="43.5703125" bestFit="1" customWidth="1"/>
    <col min="19" max="19" width="38.85546875" bestFit="1" customWidth="1"/>
    <col min="20" max="20" width="18.5703125" bestFit="1" customWidth="1"/>
    <col min="21" max="21" width="23" customWidth="1"/>
    <col min="22" max="22" width="17.7109375" bestFit="1" customWidth="1"/>
    <col min="23" max="23" width="23" bestFit="1" customWidth="1"/>
    <col min="24" max="24" width="19.28515625" bestFit="1" customWidth="1"/>
    <col min="25" max="25" width="22" bestFit="1" customWidth="1"/>
    <col min="26" max="26" width="22.85546875" bestFit="1" customWidth="1"/>
    <col min="27" max="27" width="15.85546875" bestFit="1" customWidth="1"/>
    <col min="28" max="28" width="18" bestFit="1" customWidth="1"/>
    <col min="29" max="29" width="21" customWidth="1"/>
    <col min="30" max="30" width="18" customWidth="1"/>
    <col min="31" max="31" width="31.140625" bestFit="1" customWidth="1"/>
    <col min="32" max="32" width="17" customWidth="1"/>
    <col min="33" max="33" width="34.7109375" bestFit="1" customWidth="1"/>
    <col min="34" max="34" width="52.140625" bestFit="1" customWidth="1"/>
    <col min="35" max="35" width="64.28515625" bestFit="1" customWidth="1"/>
    <col min="36" max="36" width="25" bestFit="1" customWidth="1"/>
    <col min="37" max="37" width="25.140625" bestFit="1" customWidth="1"/>
    <col min="38" max="38" width="19.85546875" bestFit="1" customWidth="1"/>
    <col min="39" max="39" width="29" customWidth="1"/>
    <col min="40" max="40" width="43.140625" bestFit="1" customWidth="1"/>
    <col min="41" max="41" width="35.7109375" bestFit="1" customWidth="1"/>
    <col min="42" max="42" width="35.42578125" bestFit="1" customWidth="1"/>
    <col min="43" max="43" width="18.28515625" bestFit="1" customWidth="1"/>
    <col min="44" max="44" width="20.42578125" bestFit="1" customWidth="1"/>
  </cols>
  <sheetData>
    <row r="1" spans="1:4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</row>
    <row r="2" spans="1:44">
      <c r="A2" s="1">
        <v>2020</v>
      </c>
      <c r="B2" s="1" t="s">
        <v>44</v>
      </c>
      <c r="C2" s="1" t="s">
        <v>45</v>
      </c>
      <c r="D2" s="1">
        <v>1938404</v>
      </c>
      <c r="E2" s="1">
        <v>6028.8902170000001</v>
      </c>
      <c r="F2" s="1">
        <v>21232.750459999999</v>
      </c>
      <c r="G2" s="1">
        <v>136168.75589999999</v>
      </c>
      <c r="H2" s="1">
        <v>674.37699199999997</v>
      </c>
      <c r="I2" s="1">
        <v>638.43800590000001</v>
      </c>
      <c r="J2" s="1">
        <v>1.3385558900000001</v>
      </c>
      <c r="K2" s="1">
        <v>34.600430170000003</v>
      </c>
      <c r="L2" s="1">
        <v>508.05670659999998</v>
      </c>
      <c r="M2" s="1">
        <v>164.21550139999999</v>
      </c>
      <c r="N2" s="1">
        <v>1969.7393870000001</v>
      </c>
      <c r="O2" s="1">
        <v>203.1977843</v>
      </c>
      <c r="P2" s="1">
        <v>597.20319159999997</v>
      </c>
      <c r="Q2" s="1">
        <v>503.6828673</v>
      </c>
      <c r="R2" s="1">
        <v>93.175600610000004</v>
      </c>
      <c r="S2" s="1">
        <v>0.34472372000000001</v>
      </c>
      <c r="T2" s="1">
        <v>232.91939170000001</v>
      </c>
      <c r="U2" s="1">
        <v>1679.1812629999999</v>
      </c>
      <c r="V2" s="1">
        <v>0.37787763000000002</v>
      </c>
      <c r="W2" s="1">
        <v>0</v>
      </c>
      <c r="X2" s="1">
        <v>0.37787763000000002</v>
      </c>
      <c r="Y2" s="1">
        <v>94.438721979999997</v>
      </c>
      <c r="Z2" s="1">
        <v>94.480636899999993</v>
      </c>
      <c r="AA2" s="1">
        <v>446.09270880000003</v>
      </c>
      <c r="AB2" s="1">
        <v>7.2056445699999996</v>
      </c>
      <c r="AC2" s="1">
        <v>358.05491130000001</v>
      </c>
      <c r="AD2" s="1">
        <v>84122.932090000002</v>
      </c>
      <c r="AE2" s="1">
        <v>10809.60082</v>
      </c>
      <c r="AF2" s="1">
        <v>1145149.077</v>
      </c>
      <c r="AG2" s="1">
        <v>6633.8065280000001</v>
      </c>
      <c r="AH2" s="1">
        <v>289.54647679999999</v>
      </c>
      <c r="AI2" s="1">
        <v>3.0982198099999998</v>
      </c>
      <c r="AJ2" s="1">
        <v>94.363617700000006</v>
      </c>
      <c r="AK2" s="1">
        <v>1421.354599</v>
      </c>
      <c r="AL2" s="1">
        <v>5655.3932869999999</v>
      </c>
      <c r="AM2" s="1">
        <v>1394.4637620000001</v>
      </c>
      <c r="AN2" s="1">
        <v>245.14584600000001</v>
      </c>
      <c r="AO2" s="1">
        <v>876.38982020000003</v>
      </c>
      <c r="AP2" s="1">
        <v>82.345181890000006</v>
      </c>
      <c r="AQ2" s="1">
        <v>2157.6331190000001</v>
      </c>
      <c r="AR2" s="1">
        <v>6448.6203729999997</v>
      </c>
    </row>
    <row r="3" spans="1:44">
      <c r="A3" s="1">
        <v>2020</v>
      </c>
      <c r="B3" s="1" t="s">
        <v>44</v>
      </c>
      <c r="C3" s="1" t="s">
        <v>46</v>
      </c>
      <c r="D3" s="1">
        <v>1194585</v>
      </c>
      <c r="E3" s="1">
        <v>16224.93727</v>
      </c>
      <c r="F3" s="1">
        <v>6940.1963640000004</v>
      </c>
      <c r="G3" s="1">
        <v>66743.173209999994</v>
      </c>
      <c r="H3" s="1">
        <v>427.23076049999997</v>
      </c>
      <c r="I3" s="1">
        <v>407.21008469999998</v>
      </c>
      <c r="J3" s="1">
        <v>0.43952542999999999</v>
      </c>
      <c r="K3" s="1">
        <v>19.581150350000001</v>
      </c>
      <c r="L3" s="1">
        <v>440.13697680000001</v>
      </c>
      <c r="M3" s="1">
        <v>115.50034839999999</v>
      </c>
      <c r="N3" s="1">
        <v>1016.6702749999999</v>
      </c>
      <c r="O3" s="1">
        <v>91.318402169999999</v>
      </c>
      <c r="P3" s="1">
        <v>226.1030548</v>
      </c>
      <c r="Q3" s="1">
        <v>197.3692848</v>
      </c>
      <c r="R3" s="1">
        <v>28.284648560000001</v>
      </c>
      <c r="S3" s="1">
        <v>0.4491214</v>
      </c>
      <c r="T3" s="1">
        <v>2053.0550280000002</v>
      </c>
      <c r="U3" s="1">
        <v>11854.922420000001</v>
      </c>
      <c r="V3" s="1">
        <v>0.36433747</v>
      </c>
      <c r="W3" s="1">
        <v>0</v>
      </c>
      <c r="X3" s="1">
        <v>0.36433747</v>
      </c>
      <c r="Y3" s="1">
        <v>21.62941524</v>
      </c>
      <c r="Z3" s="1">
        <v>21.94618329</v>
      </c>
      <c r="AA3" s="1">
        <v>158.31986810000001</v>
      </c>
      <c r="AB3" s="1">
        <v>1.43073166</v>
      </c>
      <c r="AC3" s="1">
        <v>137.68980869999999</v>
      </c>
      <c r="AD3" s="1">
        <v>35356.14327</v>
      </c>
      <c r="AE3" s="1">
        <v>3142.2506629999998</v>
      </c>
      <c r="AF3" s="1">
        <v>405535.08539999998</v>
      </c>
      <c r="AG3" s="1">
        <v>2605.206596</v>
      </c>
      <c r="AH3" s="1">
        <v>66.996680549999994</v>
      </c>
      <c r="AI3" s="1">
        <v>1.2896696000000001</v>
      </c>
      <c r="AJ3" s="1">
        <v>18.424274149999999</v>
      </c>
      <c r="AK3" s="1">
        <v>523.86093029999995</v>
      </c>
      <c r="AL3" s="1">
        <v>1561.4217180000001</v>
      </c>
      <c r="AM3" s="1">
        <v>281.28178839999998</v>
      </c>
      <c r="AN3" s="1">
        <v>43.148205619999999</v>
      </c>
      <c r="AO3" s="1">
        <v>238.84812669999999</v>
      </c>
      <c r="AP3" s="1">
        <v>19.100004210000002</v>
      </c>
      <c r="AQ3" s="1">
        <v>700.15891499999998</v>
      </c>
      <c r="AR3" s="1">
        <v>1647.8399460000001</v>
      </c>
    </row>
    <row r="4" spans="1:44">
      <c r="A4" s="1">
        <v>2020</v>
      </c>
      <c r="B4" s="1" t="s">
        <v>44</v>
      </c>
      <c r="C4" s="1" t="s">
        <v>47</v>
      </c>
      <c r="D4" s="1">
        <v>4345329</v>
      </c>
      <c r="E4" s="1">
        <v>117488.43580000001</v>
      </c>
      <c r="F4" s="1">
        <v>17993.684099999999</v>
      </c>
      <c r="G4" s="1">
        <v>106779.151</v>
      </c>
      <c r="H4" s="1">
        <v>3427.5925269999998</v>
      </c>
      <c r="I4" s="1">
        <v>3276.5032489999999</v>
      </c>
      <c r="J4" s="1">
        <v>2.9205423100000001</v>
      </c>
      <c r="K4" s="1">
        <v>148.16873559999999</v>
      </c>
      <c r="L4" s="1">
        <v>3434.5858969999999</v>
      </c>
      <c r="M4" s="1">
        <v>1359.1251569999999</v>
      </c>
      <c r="N4" s="1">
        <v>5054.3640359999999</v>
      </c>
      <c r="O4" s="1">
        <v>605.3634654</v>
      </c>
      <c r="P4" s="1">
        <v>1577.888915</v>
      </c>
      <c r="Q4" s="1">
        <v>1419.99758</v>
      </c>
      <c r="R4" s="1">
        <v>155.43456750000001</v>
      </c>
      <c r="S4" s="1">
        <v>2.4567671299999998</v>
      </c>
      <c r="T4" s="1">
        <v>14318.3961</v>
      </c>
      <c r="U4" s="1">
        <v>87711.187990000006</v>
      </c>
      <c r="V4" s="1">
        <v>84.984148829999995</v>
      </c>
      <c r="W4" s="1">
        <v>1.4727099999999999E-3</v>
      </c>
      <c r="X4" s="1">
        <v>84.982676119999994</v>
      </c>
      <c r="Y4" s="1">
        <v>45.336608329999997</v>
      </c>
      <c r="Z4" s="1">
        <v>129.93402620000001</v>
      </c>
      <c r="AA4" s="1">
        <v>1314.717253</v>
      </c>
      <c r="AB4" s="1">
        <v>20.386877439999999</v>
      </c>
      <c r="AC4" s="1">
        <v>1208.7115699999999</v>
      </c>
      <c r="AD4" s="1">
        <v>65852.938869999998</v>
      </c>
      <c r="AE4" s="1">
        <v>6776.7297410000001</v>
      </c>
      <c r="AF4" s="1">
        <v>976540.20279999997</v>
      </c>
      <c r="AG4" s="1">
        <v>6070.0437400000001</v>
      </c>
      <c r="AH4" s="1">
        <v>227.93413810000001</v>
      </c>
      <c r="AI4" s="1">
        <v>4.7330036599999996</v>
      </c>
      <c r="AJ4" s="1">
        <v>83.007878939999998</v>
      </c>
      <c r="AK4" s="1">
        <v>2869.5418260000001</v>
      </c>
      <c r="AL4" s="1">
        <v>6536.2280110000002</v>
      </c>
      <c r="AM4" s="1">
        <v>1609.3350909999999</v>
      </c>
      <c r="AN4" s="1">
        <v>184.31300060000001</v>
      </c>
      <c r="AO4" s="1">
        <v>648.93549670000004</v>
      </c>
      <c r="AP4" s="1">
        <v>35.596685360000002</v>
      </c>
      <c r="AQ4" s="1">
        <v>1305.3696090000001</v>
      </c>
      <c r="AR4" s="1">
        <v>2922.7165450000002</v>
      </c>
    </row>
    <row r="5" spans="1:44">
      <c r="A5" s="1">
        <v>2020</v>
      </c>
      <c r="B5" s="1" t="s">
        <v>44</v>
      </c>
      <c r="C5" s="1" t="s">
        <v>48</v>
      </c>
      <c r="D5" s="1">
        <v>3831780</v>
      </c>
      <c r="E5" s="1">
        <v>157236.2843</v>
      </c>
      <c r="F5" s="1">
        <v>21143.659370000001</v>
      </c>
      <c r="G5" s="1">
        <v>67960.628320000003</v>
      </c>
      <c r="H5" s="1">
        <v>5643.2946709999997</v>
      </c>
      <c r="I5" s="1">
        <v>5345.4965359999997</v>
      </c>
      <c r="J5" s="1">
        <v>3.5004749300000002</v>
      </c>
      <c r="K5" s="1">
        <v>294.29766009999997</v>
      </c>
      <c r="L5" s="1">
        <v>4260.78575</v>
      </c>
      <c r="M5" s="1">
        <v>2080.968797</v>
      </c>
      <c r="N5" s="1">
        <v>6249.3030140000001</v>
      </c>
      <c r="O5" s="1">
        <v>713.0738758</v>
      </c>
      <c r="P5" s="1">
        <v>1906.742084</v>
      </c>
      <c r="Q5" s="1">
        <v>1717.457508</v>
      </c>
      <c r="R5" s="1">
        <v>187.5981592</v>
      </c>
      <c r="S5" s="1">
        <v>1.68641671</v>
      </c>
      <c r="T5" s="1">
        <v>19094.185720000001</v>
      </c>
      <c r="U5" s="1">
        <v>117287.9624</v>
      </c>
      <c r="V5" s="1">
        <v>2346.0755330000002</v>
      </c>
      <c r="W5" s="1">
        <v>0.21882066</v>
      </c>
      <c r="X5" s="1">
        <v>2345.8567119999998</v>
      </c>
      <c r="Y5" s="1">
        <v>46.058250049999998</v>
      </c>
      <c r="Z5" s="1">
        <v>2391.6583260000002</v>
      </c>
      <c r="AA5" s="1">
        <v>4335.162644</v>
      </c>
      <c r="AB5" s="1">
        <v>370.9710255</v>
      </c>
      <c r="AC5" s="1">
        <v>2329.8164729999999</v>
      </c>
      <c r="AD5" s="1">
        <v>56741.611799999999</v>
      </c>
      <c r="AE5" s="1">
        <v>3811.999495</v>
      </c>
      <c r="AF5" s="1">
        <v>704797.78220000002</v>
      </c>
      <c r="AG5" s="1">
        <v>3787.8170089999999</v>
      </c>
      <c r="AH5" s="1">
        <v>306.73757819999997</v>
      </c>
      <c r="AI5" s="1">
        <v>5.7570917399999999</v>
      </c>
      <c r="AJ5" s="1">
        <v>144.28443799999999</v>
      </c>
      <c r="AK5" s="1">
        <v>3986.508022</v>
      </c>
      <c r="AL5" s="1">
        <v>7403.5664100000004</v>
      </c>
      <c r="AM5" s="1">
        <v>1774.8478720000001</v>
      </c>
      <c r="AN5" s="1">
        <v>195.1118669</v>
      </c>
      <c r="AO5" s="1">
        <v>607.97244390000003</v>
      </c>
      <c r="AP5" s="1">
        <v>33.720747269999997</v>
      </c>
      <c r="AQ5" s="1">
        <v>1316.9369589999999</v>
      </c>
      <c r="AR5" s="1">
        <v>2165.0436359999999</v>
      </c>
    </row>
    <row r="6" spans="1:44">
      <c r="A6" s="1">
        <v>2020</v>
      </c>
      <c r="B6" s="1" t="s">
        <v>44</v>
      </c>
      <c r="C6" s="1" t="s">
        <v>49</v>
      </c>
      <c r="D6" s="1">
        <v>3129461</v>
      </c>
      <c r="E6" s="1">
        <v>200239.99189999999</v>
      </c>
      <c r="F6" s="1">
        <v>28763.20825</v>
      </c>
      <c r="G6" s="1">
        <v>91109.033809999994</v>
      </c>
      <c r="H6" s="1">
        <v>8038.5068890000002</v>
      </c>
      <c r="I6" s="1">
        <v>7376.1479209999998</v>
      </c>
      <c r="J6" s="1">
        <v>4.8745382800000003</v>
      </c>
      <c r="K6" s="1">
        <v>657.4844296</v>
      </c>
      <c r="L6" s="1">
        <v>3769.2456149999998</v>
      </c>
      <c r="M6" s="1">
        <v>2730.133507</v>
      </c>
      <c r="N6" s="1">
        <v>8282.450417</v>
      </c>
      <c r="O6" s="1">
        <v>1064.036818</v>
      </c>
      <c r="P6" s="1">
        <v>2690.429036</v>
      </c>
      <c r="Q6" s="1">
        <v>2417.9965000000002</v>
      </c>
      <c r="R6" s="1">
        <v>270.628083</v>
      </c>
      <c r="S6" s="1">
        <v>1.8044529899999999</v>
      </c>
      <c r="T6" s="1">
        <v>23505.59878</v>
      </c>
      <c r="U6" s="1">
        <v>150159.63389999999</v>
      </c>
      <c r="V6" s="1">
        <v>10372.013989999999</v>
      </c>
      <c r="W6" s="1">
        <v>2.1100342900000002</v>
      </c>
      <c r="X6" s="1">
        <v>10369.90396</v>
      </c>
      <c r="Y6" s="1">
        <v>85.351126260000001</v>
      </c>
      <c r="Z6" s="1">
        <v>10454.117539999999</v>
      </c>
      <c r="AA6" s="1">
        <v>12587.3459</v>
      </c>
      <c r="AB6" s="1">
        <v>1660.7971299999999</v>
      </c>
      <c r="AC6" s="1">
        <v>3860.2593259999999</v>
      </c>
      <c r="AD6" s="1">
        <v>78103.81594</v>
      </c>
      <c r="AE6" s="1">
        <v>5284.8562270000002</v>
      </c>
      <c r="AF6" s="1">
        <v>973120.82310000004</v>
      </c>
      <c r="AG6" s="1">
        <v>6761.6679990000002</v>
      </c>
      <c r="AH6" s="1">
        <v>686.24946599999998</v>
      </c>
      <c r="AI6" s="1">
        <v>14.36792902</v>
      </c>
      <c r="AJ6" s="1">
        <v>281.26951739999998</v>
      </c>
      <c r="AK6" s="1">
        <v>5934.8981970000004</v>
      </c>
      <c r="AL6" s="1">
        <v>10324.456469999999</v>
      </c>
      <c r="AM6" s="1">
        <v>2495.2338100000002</v>
      </c>
      <c r="AN6" s="1">
        <v>279.9878152</v>
      </c>
      <c r="AO6" s="1">
        <v>876.79739629999995</v>
      </c>
      <c r="AP6" s="1">
        <v>63.09611675</v>
      </c>
      <c r="AQ6" s="1">
        <v>1948.456913</v>
      </c>
      <c r="AR6" s="1">
        <v>3485.634935</v>
      </c>
    </row>
    <row r="7" spans="1:44">
      <c r="A7" s="1">
        <v>2020</v>
      </c>
      <c r="B7" s="1" t="s">
        <v>44</v>
      </c>
      <c r="C7" s="1" t="s">
        <v>50</v>
      </c>
      <c r="D7" s="1">
        <v>1133953</v>
      </c>
      <c r="E7" s="1">
        <v>109774.66009999999</v>
      </c>
      <c r="F7" s="1">
        <v>15865.39898</v>
      </c>
      <c r="G7" s="1">
        <v>43864.163269999997</v>
      </c>
      <c r="H7" s="1">
        <v>5315.9361900000004</v>
      </c>
      <c r="I7" s="1">
        <v>4601.6575050000001</v>
      </c>
      <c r="J7" s="1">
        <v>2.4380656900000002</v>
      </c>
      <c r="K7" s="1">
        <v>711.84061899999995</v>
      </c>
      <c r="L7" s="1">
        <v>1719.0595479999999</v>
      </c>
      <c r="M7" s="1">
        <v>1487.3542130000001</v>
      </c>
      <c r="N7" s="1">
        <v>5076.5280300000004</v>
      </c>
      <c r="O7" s="1">
        <v>658.72623859999999</v>
      </c>
      <c r="P7" s="1">
        <v>1819.75946</v>
      </c>
      <c r="Q7" s="1">
        <v>1630.4829709999999</v>
      </c>
      <c r="R7" s="1">
        <v>188.4605359</v>
      </c>
      <c r="S7" s="1">
        <v>0.81595256000000005</v>
      </c>
      <c r="T7" s="1">
        <v>10147.71616</v>
      </c>
      <c r="U7" s="1">
        <v>83549.587</v>
      </c>
      <c r="V7" s="1">
        <v>11150.08741</v>
      </c>
      <c r="W7" s="1">
        <v>3.9816400299999999</v>
      </c>
      <c r="X7" s="1">
        <v>11146.10577</v>
      </c>
      <c r="Y7" s="1">
        <v>45.493645559999997</v>
      </c>
      <c r="Z7" s="1">
        <v>11190.612999999999</v>
      </c>
      <c r="AA7" s="1">
        <v>11360.751560000001</v>
      </c>
      <c r="AB7" s="1">
        <v>1614.510041</v>
      </c>
      <c r="AC7" s="1">
        <v>1842.889588</v>
      </c>
      <c r="AD7" s="1">
        <v>42124.722450000001</v>
      </c>
      <c r="AE7" s="1">
        <v>2773.6901029999999</v>
      </c>
      <c r="AF7" s="1">
        <v>513134.56339999998</v>
      </c>
      <c r="AG7" s="1">
        <v>3236.8325810000001</v>
      </c>
      <c r="AH7" s="1">
        <v>682.48194190000004</v>
      </c>
      <c r="AI7" s="1">
        <v>21.139400739999999</v>
      </c>
      <c r="AJ7" s="1">
        <v>258.46861280000002</v>
      </c>
      <c r="AK7" s="1">
        <v>3487.0495850000002</v>
      </c>
      <c r="AL7" s="1">
        <v>6172.454076</v>
      </c>
      <c r="AM7" s="1">
        <v>1664.1419350000001</v>
      </c>
      <c r="AN7" s="1">
        <v>194.37633349999999</v>
      </c>
      <c r="AO7" s="1">
        <v>455.61075940000001</v>
      </c>
      <c r="AP7" s="1">
        <v>40.812555330000002</v>
      </c>
      <c r="AQ7" s="1">
        <v>1141.044103</v>
      </c>
      <c r="AR7" s="1">
        <v>2152.37509</v>
      </c>
    </row>
    <row r="8" spans="1:44">
      <c r="A8" s="1">
        <v>2020</v>
      </c>
      <c r="B8" s="1" t="s">
        <v>44</v>
      </c>
      <c r="C8" s="1" t="s">
        <v>51</v>
      </c>
      <c r="D8" s="1">
        <v>895927</v>
      </c>
      <c r="E8" s="1">
        <v>117600.7176</v>
      </c>
      <c r="F8" s="1">
        <v>18304.304209999998</v>
      </c>
      <c r="G8" s="1">
        <v>41392.164680000002</v>
      </c>
      <c r="H8" s="1">
        <v>7117.6587989999998</v>
      </c>
      <c r="I8" s="1">
        <v>5888.6095750000004</v>
      </c>
      <c r="J8" s="1">
        <v>3.4735579400000001</v>
      </c>
      <c r="K8" s="1">
        <v>1225.575666</v>
      </c>
      <c r="L8" s="1">
        <v>1610.490456</v>
      </c>
      <c r="M8" s="1">
        <v>1357.910711</v>
      </c>
      <c r="N8" s="1">
        <v>5600.3898939999999</v>
      </c>
      <c r="O8" s="1">
        <v>635.32760159999998</v>
      </c>
      <c r="P8" s="1">
        <v>1807.968404</v>
      </c>
      <c r="Q8" s="1">
        <v>1603.0235190000001</v>
      </c>
      <c r="R8" s="1">
        <v>204.06124990000001</v>
      </c>
      <c r="S8" s="1">
        <v>0.88363530000000001</v>
      </c>
      <c r="T8" s="1">
        <v>5922.9942769999998</v>
      </c>
      <c r="U8" s="1">
        <v>93547.984479999999</v>
      </c>
      <c r="V8" s="1">
        <v>16381.666069999999</v>
      </c>
      <c r="W8" s="1">
        <v>9.45359281</v>
      </c>
      <c r="X8" s="1">
        <v>16372.21248</v>
      </c>
      <c r="Y8" s="1">
        <v>58.682016670000003</v>
      </c>
      <c r="Z8" s="1">
        <v>16430.822029999999</v>
      </c>
      <c r="AA8" s="1">
        <v>15992.162200000001</v>
      </c>
      <c r="AB8" s="1">
        <v>1901.876315</v>
      </c>
      <c r="AC8" s="1">
        <v>1533.344276</v>
      </c>
      <c r="AD8" s="1">
        <v>42122.366580000002</v>
      </c>
      <c r="AE8" s="1">
        <v>3088.3061010000001</v>
      </c>
      <c r="AF8" s="1">
        <v>513465.09779999999</v>
      </c>
      <c r="AG8" s="1">
        <v>3605.6625260000001</v>
      </c>
      <c r="AH8" s="1">
        <v>1083.66255</v>
      </c>
      <c r="AI8" s="1">
        <v>75.998950500000007</v>
      </c>
      <c r="AJ8" s="1">
        <v>359.51106279999999</v>
      </c>
      <c r="AK8" s="1">
        <v>3525.3120669999998</v>
      </c>
      <c r="AL8" s="1">
        <v>6323.3382799999999</v>
      </c>
      <c r="AM8" s="1">
        <v>1618.832942</v>
      </c>
      <c r="AN8" s="1">
        <v>206.42787089999999</v>
      </c>
      <c r="AO8" s="1">
        <v>497.34948930000002</v>
      </c>
      <c r="AP8" s="1">
        <v>27.03866575</v>
      </c>
      <c r="AQ8" s="1">
        <v>1343.10004</v>
      </c>
      <c r="AR8" s="1">
        <v>2806.0815320000002</v>
      </c>
    </row>
    <row r="9" spans="1:44">
      <c r="A9" s="1">
        <v>2020</v>
      </c>
      <c r="B9" s="1" t="s">
        <v>44</v>
      </c>
      <c r="C9" s="1" t="s">
        <v>52</v>
      </c>
      <c r="D9" s="1">
        <v>691586</v>
      </c>
      <c r="E9" s="1">
        <v>128920.3067</v>
      </c>
      <c r="F9" s="1">
        <v>20501.189539999999</v>
      </c>
      <c r="G9" s="1">
        <v>41435.867910000001</v>
      </c>
      <c r="H9" s="1">
        <v>9441.0697600000003</v>
      </c>
      <c r="I9" s="1">
        <v>7402.2783879999997</v>
      </c>
      <c r="J9" s="1">
        <v>2.8942854900000001</v>
      </c>
      <c r="K9" s="1">
        <v>2035.8970859999999</v>
      </c>
      <c r="L9" s="1">
        <v>1407.6329470000001</v>
      </c>
      <c r="M9" s="1">
        <v>1178.7519649999999</v>
      </c>
      <c r="N9" s="1">
        <v>6044.9510440000004</v>
      </c>
      <c r="O9" s="1">
        <v>737.47584619999998</v>
      </c>
      <c r="P9" s="1">
        <v>1882.558802</v>
      </c>
      <c r="Q9" s="1">
        <v>1659.2791319999999</v>
      </c>
      <c r="R9" s="1">
        <v>222.68420979999999</v>
      </c>
      <c r="S9" s="1">
        <v>0.59545987</v>
      </c>
      <c r="T9" s="1">
        <v>2890.0901410000001</v>
      </c>
      <c r="U9" s="1">
        <v>105337.7856</v>
      </c>
      <c r="V9" s="1">
        <v>21755.944589999999</v>
      </c>
      <c r="W9" s="1">
        <v>21.189554579999999</v>
      </c>
      <c r="X9" s="1">
        <v>21734.75503</v>
      </c>
      <c r="Y9" s="1">
        <v>73.36933956</v>
      </c>
      <c r="Z9" s="1">
        <v>21807.71169</v>
      </c>
      <c r="AA9" s="1">
        <v>21144.770680000001</v>
      </c>
      <c r="AB9" s="1">
        <v>1997.7896559999999</v>
      </c>
      <c r="AC9" s="1">
        <v>1420.269376</v>
      </c>
      <c r="AD9" s="1">
        <v>43417.491600000001</v>
      </c>
      <c r="AE9" s="1">
        <v>3428.6726950000002</v>
      </c>
      <c r="AF9" s="1">
        <v>594008.20019999996</v>
      </c>
      <c r="AG9" s="1">
        <v>4902.5033080000003</v>
      </c>
      <c r="AH9" s="1">
        <v>1709.593273</v>
      </c>
      <c r="AI9" s="1">
        <v>124.4284787</v>
      </c>
      <c r="AJ9" s="1">
        <v>506.19404680000002</v>
      </c>
      <c r="AK9" s="1">
        <v>3743.7515109999999</v>
      </c>
      <c r="AL9" s="1">
        <v>6532.0898740000002</v>
      </c>
      <c r="AM9" s="1">
        <v>1673.0642539999999</v>
      </c>
      <c r="AN9" s="1">
        <v>224.4804589</v>
      </c>
      <c r="AO9" s="1">
        <v>547.34187420000001</v>
      </c>
      <c r="AP9" s="1">
        <v>29.774981449999999</v>
      </c>
      <c r="AQ9" s="1">
        <v>1694.037736</v>
      </c>
      <c r="AR9" s="1">
        <v>2719.6250730000002</v>
      </c>
    </row>
    <row r="10" spans="1:44">
      <c r="A10" s="1">
        <v>2020</v>
      </c>
      <c r="B10" s="1" t="s">
        <v>44</v>
      </c>
      <c r="C10" s="1" t="s">
        <v>53</v>
      </c>
      <c r="D10" s="1">
        <v>308224</v>
      </c>
      <c r="E10" s="1">
        <v>79933.155729999999</v>
      </c>
      <c r="F10" s="1">
        <v>14179.22905</v>
      </c>
      <c r="G10" s="1">
        <v>26666.55949</v>
      </c>
      <c r="H10" s="1">
        <v>6409.1299710000003</v>
      </c>
      <c r="I10" s="1">
        <v>4792.9130800000003</v>
      </c>
      <c r="J10" s="1">
        <v>2.3039801199999999</v>
      </c>
      <c r="K10" s="1">
        <v>1613.9129109999999</v>
      </c>
      <c r="L10" s="1">
        <v>660.58540359999995</v>
      </c>
      <c r="M10" s="1">
        <v>562.43920490000005</v>
      </c>
      <c r="N10" s="1">
        <v>3456.414284</v>
      </c>
      <c r="O10" s="1">
        <v>554.71656029999997</v>
      </c>
      <c r="P10" s="1">
        <v>1055.9763439999999</v>
      </c>
      <c r="Q10" s="1">
        <v>928.76617280000005</v>
      </c>
      <c r="R10" s="1">
        <v>126.51845950000001</v>
      </c>
      <c r="S10" s="1">
        <v>0.69171156</v>
      </c>
      <c r="T10" s="1">
        <v>847.18320210000002</v>
      </c>
      <c r="U10" s="1">
        <v>66386.706959999996</v>
      </c>
      <c r="V10" s="1">
        <v>15042.454820000001</v>
      </c>
      <c r="W10" s="1">
        <v>21.657668170000001</v>
      </c>
      <c r="X10" s="1">
        <v>15020.79716</v>
      </c>
      <c r="Y10" s="1">
        <v>53.605317309999997</v>
      </c>
      <c r="Z10" s="1">
        <v>15074.151879999999</v>
      </c>
      <c r="AA10" s="1">
        <v>14517.714550000001</v>
      </c>
      <c r="AB10" s="1">
        <v>1224.9329279999999</v>
      </c>
      <c r="AC10" s="1">
        <v>729.84055030000002</v>
      </c>
      <c r="AD10" s="1">
        <v>25431.487140000001</v>
      </c>
      <c r="AE10" s="1">
        <v>2458.0831899999998</v>
      </c>
      <c r="AF10" s="1">
        <v>409652.44290000002</v>
      </c>
      <c r="AG10" s="1">
        <v>3257.9541089999998</v>
      </c>
      <c r="AH10" s="1">
        <v>1403.3384659999999</v>
      </c>
      <c r="AI10" s="1">
        <v>80.715601649999996</v>
      </c>
      <c r="AJ10" s="1">
        <v>336.92248009999997</v>
      </c>
      <c r="AK10" s="1">
        <v>2205.0778970000001</v>
      </c>
      <c r="AL10" s="1">
        <v>3681.5246849999999</v>
      </c>
      <c r="AM10" s="1">
        <v>935.38357840000003</v>
      </c>
      <c r="AN10" s="1">
        <v>127.54354050000001</v>
      </c>
      <c r="AO10" s="1">
        <v>352.54614909999998</v>
      </c>
      <c r="AP10" s="1">
        <v>17.010212599999999</v>
      </c>
      <c r="AQ10" s="1">
        <v>1332.979529</v>
      </c>
      <c r="AR10" s="1">
        <v>2004.750225</v>
      </c>
    </row>
    <row r="11" spans="1:44">
      <c r="A11" s="1">
        <v>2020</v>
      </c>
      <c r="B11" s="1" t="s">
        <v>44</v>
      </c>
      <c r="C11" s="1" t="s">
        <v>54</v>
      </c>
      <c r="D11" s="1">
        <v>253798</v>
      </c>
      <c r="E11" s="1">
        <v>91529.791930000007</v>
      </c>
      <c r="F11" s="1">
        <v>17396.974859999998</v>
      </c>
      <c r="G11" s="1">
        <v>32293.21963</v>
      </c>
      <c r="H11" s="1">
        <v>7602.2657060000001</v>
      </c>
      <c r="I11" s="1">
        <v>5634.3063769999999</v>
      </c>
      <c r="J11" s="1">
        <v>2.8269820299999999</v>
      </c>
      <c r="K11" s="1">
        <v>1965.1323460000001</v>
      </c>
      <c r="L11" s="1">
        <v>571.62522539999998</v>
      </c>
      <c r="M11" s="1">
        <v>499.71665339999998</v>
      </c>
      <c r="N11" s="1">
        <v>3678.6923019999999</v>
      </c>
      <c r="O11" s="1">
        <v>859.14121460000001</v>
      </c>
      <c r="P11" s="1">
        <v>1022.4568410000001</v>
      </c>
      <c r="Q11" s="1">
        <v>895.70786529999998</v>
      </c>
      <c r="R11" s="1">
        <v>126.3067894</v>
      </c>
      <c r="S11" s="1">
        <v>0.44218657</v>
      </c>
      <c r="T11" s="1">
        <v>526.18680199999994</v>
      </c>
      <c r="U11" s="1">
        <v>76769.707190000001</v>
      </c>
      <c r="V11" s="1">
        <v>18465.571550000001</v>
      </c>
      <c r="W11" s="1">
        <v>34.691809960000001</v>
      </c>
      <c r="X11" s="1">
        <v>18430.87974</v>
      </c>
      <c r="Y11" s="1">
        <v>78.478672919999994</v>
      </c>
      <c r="Z11" s="1">
        <v>18509.347559999998</v>
      </c>
      <c r="AA11" s="1">
        <v>17808.004509999999</v>
      </c>
      <c r="AB11" s="1">
        <v>1419.0356489999999</v>
      </c>
      <c r="AC11" s="1">
        <v>810.80640259999996</v>
      </c>
      <c r="AD11" s="1">
        <v>35788.42383</v>
      </c>
      <c r="AE11" s="1">
        <v>2728.3237709999999</v>
      </c>
      <c r="AF11" s="1">
        <v>522849.51169999997</v>
      </c>
      <c r="AG11" s="1">
        <v>4276.0597749999997</v>
      </c>
      <c r="AH11" s="1">
        <v>1681.1974949999999</v>
      </c>
      <c r="AI11" s="1">
        <v>171.73195200000001</v>
      </c>
      <c r="AJ11" s="1">
        <v>355.73916159999999</v>
      </c>
      <c r="AK11" s="1">
        <v>2456.9082210000001</v>
      </c>
      <c r="AL11" s="1">
        <v>3911.7705799999999</v>
      </c>
      <c r="AM11" s="1">
        <v>903.18499680000002</v>
      </c>
      <c r="AN11" s="1">
        <v>127.18727579999999</v>
      </c>
      <c r="AO11" s="1">
        <v>371.15142029999998</v>
      </c>
      <c r="AP11" s="1">
        <v>19.575083809999999</v>
      </c>
      <c r="AQ11" s="1">
        <v>1426.65328</v>
      </c>
      <c r="AR11" s="1">
        <v>2829.732321</v>
      </c>
    </row>
    <row r="12" spans="1:44">
      <c r="A12" s="1">
        <v>2020</v>
      </c>
      <c r="B12" s="1" t="s">
        <v>44</v>
      </c>
      <c r="C12" s="1" t="s">
        <v>55</v>
      </c>
      <c r="D12" s="1">
        <v>68596</v>
      </c>
      <c r="E12" s="1">
        <v>33188.293400000002</v>
      </c>
      <c r="F12" s="1">
        <v>7571.3029660000002</v>
      </c>
      <c r="G12" s="1">
        <v>14708.785019999999</v>
      </c>
      <c r="H12" s="1">
        <v>2328.774735</v>
      </c>
      <c r="I12" s="1">
        <v>1567.359465</v>
      </c>
      <c r="J12" s="1">
        <v>0.97485588000000001</v>
      </c>
      <c r="K12" s="1">
        <v>760.44041349999998</v>
      </c>
      <c r="L12" s="1">
        <v>160.90958319999999</v>
      </c>
      <c r="M12" s="1">
        <v>147.54652720000001</v>
      </c>
      <c r="N12" s="1">
        <v>1032.306718</v>
      </c>
      <c r="O12" s="1">
        <v>485.49353489999999</v>
      </c>
      <c r="P12" s="1">
        <v>254.8683991</v>
      </c>
      <c r="Q12" s="1">
        <v>220.4403064</v>
      </c>
      <c r="R12" s="1">
        <v>34.404467949999997</v>
      </c>
      <c r="S12" s="1">
        <v>2.362481E-2</v>
      </c>
      <c r="T12" s="1">
        <v>150.23616680000001</v>
      </c>
      <c r="U12" s="1">
        <v>28628.157739999999</v>
      </c>
      <c r="V12" s="1">
        <v>7157.7875540000005</v>
      </c>
      <c r="W12" s="1">
        <v>17.048013539999999</v>
      </c>
      <c r="X12" s="1">
        <v>7140.7395399999996</v>
      </c>
      <c r="Y12" s="1">
        <v>32.205000249999998</v>
      </c>
      <c r="Z12" s="1">
        <v>7172.9444519999997</v>
      </c>
      <c r="AA12" s="1">
        <v>6658.0199089999996</v>
      </c>
      <c r="AB12" s="1">
        <v>645.25728330000004</v>
      </c>
      <c r="AC12" s="1">
        <v>193.40275819999999</v>
      </c>
      <c r="AD12" s="1">
        <v>13281.471649999999</v>
      </c>
      <c r="AE12" s="1">
        <v>1223.815276</v>
      </c>
      <c r="AF12" s="1">
        <v>210481.0912</v>
      </c>
      <c r="AG12" s="1">
        <v>1701.387125</v>
      </c>
      <c r="AH12" s="1">
        <v>665.77582859999995</v>
      </c>
      <c r="AI12" s="1">
        <v>59.337564610000001</v>
      </c>
      <c r="AJ12" s="1">
        <v>128.95534420000001</v>
      </c>
      <c r="AK12" s="1">
        <v>869.64048720000005</v>
      </c>
      <c r="AL12" s="1">
        <v>1118.140979</v>
      </c>
      <c r="AM12" s="1">
        <v>223.68475079999999</v>
      </c>
      <c r="AN12" s="1">
        <v>34.732703200000003</v>
      </c>
      <c r="AO12" s="1">
        <v>131.9282518</v>
      </c>
      <c r="AP12" s="1">
        <v>10.04074825</v>
      </c>
      <c r="AQ12" s="1">
        <v>532.52920280000001</v>
      </c>
      <c r="AR12" s="1">
        <v>1285.019008</v>
      </c>
    </row>
    <row r="13" spans="1:44">
      <c r="A13" s="1">
        <v>2020</v>
      </c>
      <c r="B13" s="1" t="s">
        <v>44</v>
      </c>
      <c r="C13" s="1" t="s">
        <v>56</v>
      </c>
      <c r="D13" s="1">
        <v>49029</v>
      </c>
      <c r="E13" s="1">
        <v>31950.20278</v>
      </c>
      <c r="F13" s="1">
        <v>9563.5655810000007</v>
      </c>
      <c r="G13" s="1">
        <v>21350.97149</v>
      </c>
      <c r="H13" s="1">
        <v>1544.706173</v>
      </c>
      <c r="I13" s="1">
        <v>712.99608039999998</v>
      </c>
      <c r="J13" s="1">
        <v>1.7972984299999999</v>
      </c>
      <c r="K13" s="1">
        <v>829.91279380000003</v>
      </c>
      <c r="L13" s="1">
        <v>117.43280439999999</v>
      </c>
      <c r="M13" s="1">
        <v>108.4828413</v>
      </c>
      <c r="N13" s="1">
        <v>716.96551139999997</v>
      </c>
      <c r="O13" s="1">
        <v>752.74399940000001</v>
      </c>
      <c r="P13" s="1">
        <v>220.0837875</v>
      </c>
      <c r="Q13" s="1">
        <v>187.390998</v>
      </c>
      <c r="R13" s="1">
        <v>32.641417500000003</v>
      </c>
      <c r="S13" s="1">
        <v>5.1372080000000001E-2</v>
      </c>
      <c r="T13" s="1">
        <v>149.59950190000001</v>
      </c>
      <c r="U13" s="1">
        <v>28340.188160000002</v>
      </c>
      <c r="V13" s="1">
        <v>7283.0785990000004</v>
      </c>
      <c r="W13" s="1">
        <v>20.87324104</v>
      </c>
      <c r="X13" s="1">
        <v>7262.2053580000002</v>
      </c>
      <c r="Y13" s="1">
        <v>18.84403945</v>
      </c>
      <c r="Z13" s="1">
        <v>7281.0488919999998</v>
      </c>
      <c r="AA13" s="1">
        <v>6439.2856419999998</v>
      </c>
      <c r="AB13" s="1">
        <v>873.88724109999998</v>
      </c>
      <c r="AC13" s="1">
        <v>183.59131060000001</v>
      </c>
      <c r="AD13" s="1">
        <v>20237.55689</v>
      </c>
      <c r="AE13" s="1">
        <v>1608.517034</v>
      </c>
      <c r="AF13" s="1">
        <v>295655.70890000003</v>
      </c>
      <c r="AG13" s="1">
        <v>3888.075574</v>
      </c>
      <c r="AH13" s="1">
        <v>743.55640140000003</v>
      </c>
      <c r="AI13" s="1">
        <v>4.2578805300000004</v>
      </c>
      <c r="AJ13" s="1">
        <v>137.99887899999999</v>
      </c>
      <c r="AK13" s="1">
        <v>803.04423659999998</v>
      </c>
      <c r="AL13" s="1">
        <v>804.63966089999997</v>
      </c>
      <c r="AM13" s="1">
        <v>188.44175039999999</v>
      </c>
      <c r="AN13" s="1">
        <v>32.850939930000003</v>
      </c>
      <c r="AO13" s="1">
        <v>152.20746199999999</v>
      </c>
      <c r="AP13" s="1">
        <v>17.635446699999999</v>
      </c>
      <c r="AQ13" s="1">
        <v>513.90340939999999</v>
      </c>
      <c r="AR13" s="1">
        <v>3356.1145059999999</v>
      </c>
    </row>
    <row r="14" spans="1:44">
      <c r="A14" s="1">
        <v>2020</v>
      </c>
      <c r="B14" s="1" t="s">
        <v>44</v>
      </c>
      <c r="C14" s="1" t="s">
        <v>57</v>
      </c>
      <c r="D14" s="1">
        <v>12290</v>
      </c>
      <c r="E14" s="1">
        <v>11736.61284</v>
      </c>
      <c r="F14" s="1">
        <v>3833.6742519999998</v>
      </c>
      <c r="G14" s="1">
        <v>8071.8941530000002</v>
      </c>
      <c r="H14" s="1">
        <v>385.99247539999999</v>
      </c>
      <c r="I14" s="1">
        <v>117.77423469999999</v>
      </c>
      <c r="J14" s="1">
        <v>0.42440720999999998</v>
      </c>
      <c r="K14" s="1">
        <v>267.79383350000001</v>
      </c>
      <c r="L14" s="1">
        <v>29.555564279999999</v>
      </c>
      <c r="M14" s="1">
        <v>27.3385158</v>
      </c>
      <c r="N14" s="1">
        <v>190.95539919999999</v>
      </c>
      <c r="O14" s="1">
        <v>444.08542560000001</v>
      </c>
      <c r="P14" s="1">
        <v>62.867288260000002</v>
      </c>
      <c r="Q14" s="1">
        <v>52.453681639999999</v>
      </c>
      <c r="R14" s="1">
        <v>10.413606619999999</v>
      </c>
      <c r="S14" s="1">
        <v>0</v>
      </c>
      <c r="T14" s="1">
        <v>48.621094679999999</v>
      </c>
      <c r="U14" s="1">
        <v>10547.19708</v>
      </c>
      <c r="V14" s="1">
        <v>2772.623231</v>
      </c>
      <c r="W14" s="1">
        <v>9.4011437200000003</v>
      </c>
      <c r="X14" s="1">
        <v>2763.222088</v>
      </c>
      <c r="Y14" s="1">
        <v>2.06793534</v>
      </c>
      <c r="Z14" s="1">
        <v>2765.290023</v>
      </c>
      <c r="AA14" s="1">
        <v>2302.7745129999998</v>
      </c>
      <c r="AB14" s="1">
        <v>412.54055529999999</v>
      </c>
      <c r="AC14" s="1">
        <v>61.911500709999999</v>
      </c>
      <c r="AD14" s="1">
        <v>5874.1223490000002</v>
      </c>
      <c r="AE14" s="1">
        <v>670.91755609999996</v>
      </c>
      <c r="AF14" s="1">
        <v>111132.2902</v>
      </c>
      <c r="AG14" s="1">
        <v>704.85148979999997</v>
      </c>
      <c r="AH14" s="1">
        <v>243.08302019999999</v>
      </c>
      <c r="AI14" s="1">
        <v>0.35655256000000002</v>
      </c>
      <c r="AJ14" s="1">
        <v>41.0107249</v>
      </c>
      <c r="AK14" s="1">
        <v>244.8244881</v>
      </c>
      <c r="AL14" s="1">
        <v>224.6293091</v>
      </c>
      <c r="AM14" s="1">
        <v>52.82819361</v>
      </c>
      <c r="AN14" s="1">
        <v>10.443878229999999</v>
      </c>
      <c r="AO14" s="1">
        <v>54.502747749999997</v>
      </c>
      <c r="AP14" s="1">
        <v>8.2898590300000006</v>
      </c>
      <c r="AQ14" s="1">
        <v>206.2907807</v>
      </c>
      <c r="AR14" s="1">
        <v>1388.290665</v>
      </c>
    </row>
    <row r="15" spans="1:44">
      <c r="A15" s="1">
        <v>2020</v>
      </c>
      <c r="B15" s="1" t="s">
        <v>44</v>
      </c>
      <c r="C15" s="1" t="s">
        <v>58</v>
      </c>
      <c r="D15" s="1">
        <v>11935</v>
      </c>
      <c r="E15" s="1">
        <v>17812.454109999999</v>
      </c>
      <c r="F15" s="1">
        <v>7609.6504070000001</v>
      </c>
      <c r="G15" s="1">
        <v>15525.435240000001</v>
      </c>
      <c r="H15" s="1">
        <v>444.9866384</v>
      </c>
      <c r="I15" s="1">
        <v>83.765937690000001</v>
      </c>
      <c r="J15" s="1">
        <v>0.47748504000000003</v>
      </c>
      <c r="K15" s="1">
        <v>360.74321559999998</v>
      </c>
      <c r="L15" s="1">
        <v>28.20644184</v>
      </c>
      <c r="M15" s="1">
        <v>25.78990181</v>
      </c>
      <c r="N15" s="1">
        <v>196.6790628</v>
      </c>
      <c r="O15" s="1">
        <v>1012.0731960000001</v>
      </c>
      <c r="P15" s="1">
        <v>69.667615369999993</v>
      </c>
      <c r="Q15" s="1">
        <v>57.690638810000003</v>
      </c>
      <c r="R15" s="1">
        <v>11.976976560000001</v>
      </c>
      <c r="S15" s="1">
        <v>0</v>
      </c>
      <c r="T15" s="1">
        <v>54.954235199999999</v>
      </c>
      <c r="U15" s="1">
        <v>15980.097019999999</v>
      </c>
      <c r="V15" s="1">
        <v>4270.474166</v>
      </c>
      <c r="W15" s="1">
        <v>15.634626859999999</v>
      </c>
      <c r="X15" s="1">
        <v>4254.8395389999996</v>
      </c>
      <c r="Y15" s="1">
        <v>1.65459668</v>
      </c>
      <c r="Z15" s="1">
        <v>4256.4941360000003</v>
      </c>
      <c r="AA15" s="1">
        <v>3406.0932830000002</v>
      </c>
      <c r="AB15" s="1">
        <v>692.52168810000001</v>
      </c>
      <c r="AC15" s="1">
        <v>87.551623219999996</v>
      </c>
      <c r="AD15" s="1">
        <v>13422.78666</v>
      </c>
      <c r="AE15" s="1">
        <v>879.02164070000003</v>
      </c>
      <c r="AF15" s="1">
        <v>199958.9222</v>
      </c>
      <c r="AG15" s="1">
        <v>870.13586599999996</v>
      </c>
      <c r="AH15" s="1">
        <v>334.31561649999998</v>
      </c>
      <c r="AI15" s="1">
        <v>0.28918638000000002</v>
      </c>
      <c r="AJ15" s="1">
        <v>47.703482880000003</v>
      </c>
      <c r="AK15" s="1">
        <v>286.17168770000001</v>
      </c>
      <c r="AL15" s="1">
        <v>240.01789339999999</v>
      </c>
      <c r="AM15" s="1">
        <v>58.766575670000002</v>
      </c>
      <c r="AN15" s="1">
        <v>12.109190849999999</v>
      </c>
      <c r="AO15" s="1">
        <v>130.9500409</v>
      </c>
      <c r="AP15" s="1">
        <v>21.752890099999998</v>
      </c>
      <c r="AQ15" s="1">
        <v>382.5200681</v>
      </c>
      <c r="AR15" s="1">
        <v>1667.6531950000001</v>
      </c>
    </row>
    <row r="16" spans="1:44">
      <c r="A16" s="1">
        <v>2020</v>
      </c>
      <c r="B16" s="1" t="s">
        <v>44</v>
      </c>
      <c r="C16" s="1" t="s">
        <v>59</v>
      </c>
      <c r="D16" s="1">
        <v>2505</v>
      </c>
      <c r="E16" s="1">
        <v>6997.1291140000003</v>
      </c>
      <c r="F16" s="1">
        <v>2057.9937190000001</v>
      </c>
      <c r="G16" s="1">
        <v>4952.2997100000002</v>
      </c>
      <c r="H16" s="1">
        <v>142.43412789999999</v>
      </c>
      <c r="I16" s="1">
        <v>16.074078050000001</v>
      </c>
      <c r="J16" s="1">
        <v>1.5975500000000001E-3</v>
      </c>
      <c r="K16" s="1">
        <v>126.3584523</v>
      </c>
      <c r="L16" s="1">
        <v>6.7001106000000004</v>
      </c>
      <c r="M16" s="1">
        <v>5.7831464400000003</v>
      </c>
      <c r="N16" s="1">
        <v>61.449478769999999</v>
      </c>
      <c r="O16" s="1">
        <v>725.94418870000004</v>
      </c>
      <c r="P16" s="1">
        <v>23.82948386</v>
      </c>
      <c r="Q16" s="1">
        <v>21.08740096</v>
      </c>
      <c r="R16" s="1">
        <v>2.7420829000000002</v>
      </c>
      <c r="S16" s="1">
        <v>0</v>
      </c>
      <c r="T16" s="1">
        <v>9.5164651199999994</v>
      </c>
      <c r="U16" s="1">
        <v>6021.4721129999998</v>
      </c>
      <c r="V16" s="1">
        <v>1629.864879</v>
      </c>
      <c r="W16" s="1">
        <v>8.0218718899999999</v>
      </c>
      <c r="X16" s="1">
        <v>1621.8430069999999</v>
      </c>
      <c r="Y16" s="1">
        <v>0.10706789999999999</v>
      </c>
      <c r="Z16" s="1">
        <v>1621.950075</v>
      </c>
      <c r="AA16" s="1">
        <v>1258.2043639999999</v>
      </c>
      <c r="AB16" s="1">
        <v>317.651926</v>
      </c>
      <c r="AC16" s="1">
        <v>30.462726580000002</v>
      </c>
      <c r="AD16" s="1">
        <v>6159.7123970000002</v>
      </c>
      <c r="AE16" s="1">
        <v>433.94400719999999</v>
      </c>
      <c r="AF16" s="1">
        <v>77021.950270000001</v>
      </c>
      <c r="AG16" s="1">
        <v>338.87974500000001</v>
      </c>
      <c r="AH16" s="1">
        <v>569.54602420000003</v>
      </c>
      <c r="AI16" s="1">
        <v>0</v>
      </c>
      <c r="AJ16" s="1">
        <v>14.09110677</v>
      </c>
      <c r="AK16" s="1">
        <v>80.895201119999996</v>
      </c>
      <c r="AL16" s="1">
        <v>74.580883189999994</v>
      </c>
      <c r="AM16" s="1">
        <v>21.204483150000002</v>
      </c>
      <c r="AN16" s="1">
        <v>2.9019588999999999</v>
      </c>
      <c r="AO16" s="1">
        <v>22.896613649999999</v>
      </c>
      <c r="AP16" s="1">
        <v>8.9285363499999999</v>
      </c>
      <c r="AQ16" s="1">
        <v>137.84158880000001</v>
      </c>
      <c r="AR16" s="1">
        <v>763.02774290000002</v>
      </c>
    </row>
    <row r="17" spans="1:44">
      <c r="A17" s="1">
        <v>2020</v>
      </c>
      <c r="B17" s="1" t="s">
        <v>44</v>
      </c>
      <c r="C17" s="1" t="s">
        <v>60</v>
      </c>
      <c r="D17" s="1">
        <v>1056</v>
      </c>
      <c r="E17" s="1">
        <v>4232.1691279999995</v>
      </c>
      <c r="F17" s="1">
        <v>990.29960080000001</v>
      </c>
      <c r="G17" s="1">
        <v>2345.5499049999999</v>
      </c>
      <c r="H17" s="1">
        <v>97.863393590000001</v>
      </c>
      <c r="I17" s="1">
        <v>8.4296268300000001</v>
      </c>
      <c r="J17" s="1">
        <v>4.3378999999999998E-4</v>
      </c>
      <c r="K17" s="1">
        <v>89.433332969999995</v>
      </c>
      <c r="L17" s="1">
        <v>2.7073451999999998</v>
      </c>
      <c r="M17" s="1">
        <v>2.3533458999999999</v>
      </c>
      <c r="N17" s="1">
        <v>23.067627250000001</v>
      </c>
      <c r="O17" s="1">
        <v>465.24504020000001</v>
      </c>
      <c r="P17" s="1">
        <v>19.165450480000001</v>
      </c>
      <c r="Q17" s="1">
        <v>13.088751090000001</v>
      </c>
      <c r="R17" s="1">
        <v>6.0766993899999999</v>
      </c>
      <c r="S17" s="1">
        <v>0</v>
      </c>
      <c r="T17" s="1">
        <v>4.0880589599999997</v>
      </c>
      <c r="U17" s="1">
        <v>3617.6788660000002</v>
      </c>
      <c r="V17" s="1">
        <v>983.89035990000002</v>
      </c>
      <c r="W17" s="1">
        <v>5.7129549500000003</v>
      </c>
      <c r="X17" s="1">
        <v>978.17740500000002</v>
      </c>
      <c r="Y17" s="1">
        <v>6.0335720000000002E-2</v>
      </c>
      <c r="Z17" s="1">
        <v>978.23774070000002</v>
      </c>
      <c r="AA17" s="1">
        <v>744.34696440000005</v>
      </c>
      <c r="AB17" s="1">
        <v>216.2806765</v>
      </c>
      <c r="AC17" s="1">
        <v>19.390398489999999</v>
      </c>
      <c r="AD17" s="1">
        <v>2350.5679340000002</v>
      </c>
      <c r="AE17" s="1">
        <v>120.6301946</v>
      </c>
      <c r="AF17" s="1">
        <v>34949.657509999997</v>
      </c>
      <c r="AG17" s="1">
        <v>187.81169370000001</v>
      </c>
      <c r="AH17" s="1">
        <v>87.027813820000006</v>
      </c>
      <c r="AI17" s="1">
        <v>0</v>
      </c>
      <c r="AJ17" s="1">
        <v>6.7767035800000004</v>
      </c>
      <c r="AK17" s="1">
        <v>34.509913269999998</v>
      </c>
      <c r="AL17" s="1">
        <v>27.860163790000001</v>
      </c>
      <c r="AM17" s="1">
        <v>13.248447150000001</v>
      </c>
      <c r="AN17" s="1">
        <v>6.1578343899999997</v>
      </c>
      <c r="AO17" s="1">
        <v>12.695888330000001</v>
      </c>
      <c r="AP17" s="1">
        <v>2.1866175399999999</v>
      </c>
      <c r="AQ17" s="1">
        <v>46.187613949999999</v>
      </c>
      <c r="AR17" s="1">
        <v>440.86728019999998</v>
      </c>
    </row>
    <row r="18" spans="1:44">
      <c r="A18" s="1">
        <v>2020</v>
      </c>
      <c r="B18" s="1" t="s">
        <v>44</v>
      </c>
      <c r="C18" s="1" t="s">
        <v>61</v>
      </c>
      <c r="D18" s="1">
        <v>1662</v>
      </c>
      <c r="E18" s="1">
        <v>17708.247579999999</v>
      </c>
      <c r="F18" s="1">
        <v>8020.2551279999998</v>
      </c>
      <c r="G18" s="1">
        <v>22246.99337</v>
      </c>
      <c r="H18" s="1">
        <v>424.88828949999998</v>
      </c>
      <c r="I18" s="1">
        <v>12.56892586</v>
      </c>
      <c r="J18" s="1">
        <v>5.8153999999999996E-4</v>
      </c>
      <c r="K18" s="1">
        <v>412.31878210000002</v>
      </c>
      <c r="L18" s="1">
        <v>5.01200124</v>
      </c>
      <c r="M18" s="1">
        <v>4.3850909900000001</v>
      </c>
      <c r="N18" s="1">
        <v>55.110081839999999</v>
      </c>
      <c r="O18" s="1">
        <v>1759.0039220000001</v>
      </c>
      <c r="P18" s="1">
        <v>37.519051660000002</v>
      </c>
      <c r="Q18" s="1">
        <v>31.69585262</v>
      </c>
      <c r="R18" s="1">
        <v>5.8231990400000004</v>
      </c>
      <c r="S18" s="1">
        <v>0</v>
      </c>
      <c r="T18" s="1">
        <v>4.5571804800000004</v>
      </c>
      <c r="U18" s="1">
        <v>15417.77196</v>
      </c>
      <c r="V18" s="1">
        <v>4222.5991880000001</v>
      </c>
      <c r="W18" s="1">
        <v>47.324093480000002</v>
      </c>
      <c r="X18" s="1">
        <v>4175.2750939999996</v>
      </c>
      <c r="Y18" s="1">
        <v>0.72667543999999995</v>
      </c>
      <c r="Z18" s="1">
        <v>4176.0017699999999</v>
      </c>
      <c r="AA18" s="1">
        <v>3298.7482869999999</v>
      </c>
      <c r="AB18" s="1">
        <v>762.95356939999999</v>
      </c>
      <c r="AC18" s="1">
        <v>94.212538910000006</v>
      </c>
      <c r="AD18" s="1">
        <v>9842.2833439999995</v>
      </c>
      <c r="AE18" s="1">
        <v>7962.5562950000003</v>
      </c>
      <c r="AF18" s="1">
        <v>176147.11660000001</v>
      </c>
      <c r="AG18" s="1">
        <v>392.14485989999997</v>
      </c>
      <c r="AH18" s="1">
        <v>404.2174857</v>
      </c>
      <c r="AI18" s="1">
        <v>0</v>
      </c>
      <c r="AJ18" s="1">
        <v>17.898284709999999</v>
      </c>
      <c r="AK18" s="1">
        <v>75.00236056</v>
      </c>
      <c r="AL18" s="1">
        <v>68.738692009999994</v>
      </c>
      <c r="AM18" s="1">
        <v>31.948063179999998</v>
      </c>
      <c r="AN18" s="1">
        <v>7.6334968999999999</v>
      </c>
      <c r="AO18" s="1">
        <v>37.1644772</v>
      </c>
      <c r="AP18" s="1">
        <v>5.2904112599999999</v>
      </c>
      <c r="AQ18" s="1">
        <v>244.3377089</v>
      </c>
      <c r="AR18" s="1">
        <v>2737.5412150000002</v>
      </c>
    </row>
    <row r="19" spans="1:44">
      <c r="A19" s="1">
        <v>2020</v>
      </c>
      <c r="B19" s="1" t="s">
        <v>62</v>
      </c>
      <c r="C19" s="1" t="s">
        <v>45</v>
      </c>
      <c r="D19" s="1">
        <v>1363529</v>
      </c>
      <c r="E19" s="1">
        <v>3991.907518</v>
      </c>
      <c r="F19" s="1">
        <v>10945.269759999999</v>
      </c>
      <c r="G19" s="1">
        <v>74201.485289999997</v>
      </c>
      <c r="H19" s="1">
        <v>395.31323159999999</v>
      </c>
      <c r="I19" s="1">
        <v>379.10438870000002</v>
      </c>
      <c r="J19" s="1">
        <v>1.2244296699999999</v>
      </c>
      <c r="K19" s="1">
        <v>14.98441319</v>
      </c>
      <c r="L19" s="1">
        <v>184.85589160000001</v>
      </c>
      <c r="M19" s="1">
        <v>97.66526322</v>
      </c>
      <c r="N19" s="1">
        <v>1550.8098560000001</v>
      </c>
      <c r="O19" s="1">
        <v>209.81407039999999</v>
      </c>
      <c r="P19" s="1">
        <v>9.6250373000000007</v>
      </c>
      <c r="Q19" s="1">
        <v>7.5233093200000001</v>
      </c>
      <c r="R19" s="1">
        <v>0.85144368000000004</v>
      </c>
      <c r="S19" s="1">
        <v>1.2502842999999999</v>
      </c>
      <c r="T19" s="1">
        <v>185.77529190000001</v>
      </c>
      <c r="U19" s="1">
        <v>1358.0488760000001</v>
      </c>
      <c r="V19" s="1">
        <v>0.55931280000000005</v>
      </c>
      <c r="W19" s="1">
        <v>0</v>
      </c>
      <c r="X19" s="1">
        <v>0.55931280000000005</v>
      </c>
      <c r="Y19" s="1">
        <v>46.347090289999997</v>
      </c>
      <c r="Z19" s="1">
        <v>46.376680530000002</v>
      </c>
      <c r="AA19" s="1">
        <v>268.98729630000003</v>
      </c>
      <c r="AB19" s="1">
        <v>4.1139503499999996</v>
      </c>
      <c r="AC19" s="1">
        <v>227.07136679999999</v>
      </c>
      <c r="AD19" s="1">
        <v>39094.380380000002</v>
      </c>
      <c r="AE19" s="1">
        <v>13226.002039999999</v>
      </c>
      <c r="AF19" s="1">
        <v>479426.96990000003</v>
      </c>
      <c r="AG19" s="1">
        <v>4717.7254000000003</v>
      </c>
      <c r="AH19" s="1">
        <v>117.5444001</v>
      </c>
      <c r="AI19" s="1">
        <v>3.2800417199999998</v>
      </c>
      <c r="AJ19" s="1">
        <v>25.029849649999999</v>
      </c>
      <c r="AK19" s="1">
        <v>680.37590399999999</v>
      </c>
      <c r="AL19" s="1">
        <v>4170.0267299999996</v>
      </c>
      <c r="AM19" s="1">
        <v>20.04360616</v>
      </c>
      <c r="AN19" s="1">
        <v>2.9671077499999998</v>
      </c>
      <c r="AO19" s="1">
        <v>485.6310805</v>
      </c>
      <c r="AP19" s="1">
        <v>12.47141628</v>
      </c>
      <c r="AQ19" s="1">
        <v>914.39009759999999</v>
      </c>
      <c r="AR19" s="1">
        <v>4204.9719779999996</v>
      </c>
    </row>
    <row r="20" spans="1:44">
      <c r="A20" s="1">
        <v>2020</v>
      </c>
      <c r="B20" s="1" t="s">
        <v>62</v>
      </c>
      <c r="C20" s="1" t="s">
        <v>46</v>
      </c>
      <c r="D20" s="1">
        <v>900052</v>
      </c>
      <c r="E20" s="1">
        <v>12178.219220000001</v>
      </c>
      <c r="F20" s="1">
        <v>3062.2051529999999</v>
      </c>
      <c r="G20" s="1">
        <v>31661.070540000001</v>
      </c>
      <c r="H20" s="1">
        <v>299.45199889999998</v>
      </c>
      <c r="I20" s="1">
        <v>286.51695039999998</v>
      </c>
      <c r="J20" s="1">
        <v>0.19691309000000001</v>
      </c>
      <c r="K20" s="1">
        <v>12.73813541</v>
      </c>
      <c r="L20" s="1">
        <v>184.06989759999999</v>
      </c>
      <c r="M20" s="1">
        <v>95.115694219999995</v>
      </c>
      <c r="N20" s="1">
        <v>1043.3212900000001</v>
      </c>
      <c r="O20" s="1">
        <v>124.8658995</v>
      </c>
      <c r="P20" s="1">
        <v>4.2161338400000004</v>
      </c>
      <c r="Q20" s="1">
        <v>3.5557246</v>
      </c>
      <c r="R20" s="1">
        <v>0.32776697999999999</v>
      </c>
      <c r="S20" s="1">
        <v>0.33264226000000002</v>
      </c>
      <c r="T20" s="1">
        <v>1512.6996899999999</v>
      </c>
      <c r="U20" s="1">
        <v>8914.4819449999995</v>
      </c>
      <c r="V20" s="1">
        <v>0.16271732</v>
      </c>
      <c r="W20" s="1">
        <v>4.8539999999999999E-5</v>
      </c>
      <c r="X20" s="1">
        <v>0.16266878000000001</v>
      </c>
      <c r="Y20" s="1">
        <v>10.032991320000001</v>
      </c>
      <c r="Z20" s="1">
        <v>10.1956601</v>
      </c>
      <c r="AA20" s="1">
        <v>110.137428</v>
      </c>
      <c r="AB20" s="1">
        <v>1.02750031</v>
      </c>
      <c r="AC20" s="1">
        <v>101.2798785</v>
      </c>
      <c r="AD20" s="1">
        <v>12416.58467</v>
      </c>
      <c r="AE20" s="1">
        <v>3544.5897719999998</v>
      </c>
      <c r="AF20" s="1">
        <v>185880.1354</v>
      </c>
      <c r="AG20" s="1">
        <v>1412.276233</v>
      </c>
      <c r="AH20" s="1">
        <v>45.044029969999997</v>
      </c>
      <c r="AI20" s="1">
        <v>0.79501295999999999</v>
      </c>
      <c r="AJ20" s="1">
        <v>10.601135340000001</v>
      </c>
      <c r="AK20" s="1">
        <v>365.29157309999999</v>
      </c>
      <c r="AL20" s="1">
        <v>1629.0807380000001</v>
      </c>
      <c r="AM20" s="1">
        <v>4.5128341900000004</v>
      </c>
      <c r="AN20" s="1">
        <v>0.42288921000000002</v>
      </c>
      <c r="AO20" s="1">
        <v>151.2925267</v>
      </c>
      <c r="AP20" s="1">
        <v>2.7320406899999998</v>
      </c>
      <c r="AQ20" s="1">
        <v>286.77573039999999</v>
      </c>
      <c r="AR20" s="1">
        <v>803.76439110000001</v>
      </c>
    </row>
    <row r="21" spans="1:44">
      <c r="A21" s="1">
        <v>2020</v>
      </c>
      <c r="B21" s="1" t="s">
        <v>62</v>
      </c>
      <c r="C21" s="1" t="s">
        <v>47</v>
      </c>
      <c r="D21" s="1">
        <v>3134752</v>
      </c>
      <c r="E21" s="1">
        <v>83366.215020000003</v>
      </c>
      <c r="F21" s="1">
        <v>9807.1686370000007</v>
      </c>
      <c r="G21" s="1">
        <v>54427.349249999999</v>
      </c>
      <c r="H21" s="1">
        <v>2139.2322899999999</v>
      </c>
      <c r="I21" s="1">
        <v>2056.950382</v>
      </c>
      <c r="J21" s="1">
        <v>1.53846075</v>
      </c>
      <c r="K21" s="1">
        <v>80.743447900000007</v>
      </c>
      <c r="L21" s="1">
        <v>1502.83367</v>
      </c>
      <c r="M21" s="1">
        <v>969.08081730000004</v>
      </c>
      <c r="N21" s="1">
        <v>5041.4160780000002</v>
      </c>
      <c r="O21" s="1">
        <v>569.34031200000004</v>
      </c>
      <c r="P21" s="1">
        <v>26.332760990000001</v>
      </c>
      <c r="Q21" s="1">
        <v>22.643966330000001</v>
      </c>
      <c r="R21" s="1">
        <v>2.87705894</v>
      </c>
      <c r="S21" s="1">
        <v>0.81173572000000005</v>
      </c>
      <c r="T21" s="1">
        <v>10352.43951</v>
      </c>
      <c r="U21" s="1">
        <v>62765.561240000003</v>
      </c>
      <c r="V21" s="1">
        <v>58.563655769999997</v>
      </c>
      <c r="W21" s="1">
        <v>1.0109800000000001E-3</v>
      </c>
      <c r="X21" s="1">
        <v>58.56264479</v>
      </c>
      <c r="Y21" s="1">
        <v>21.996718869999999</v>
      </c>
      <c r="Z21" s="1">
        <v>80.503779080000001</v>
      </c>
      <c r="AA21" s="1">
        <v>922.24781459999997</v>
      </c>
      <c r="AB21" s="1">
        <v>14.67030808</v>
      </c>
      <c r="AC21" s="1">
        <v>861.82116189999999</v>
      </c>
      <c r="AD21" s="1">
        <v>32614.467949999998</v>
      </c>
      <c r="AE21" s="1">
        <v>6968.2292459999999</v>
      </c>
      <c r="AF21" s="1">
        <v>426999.40610000002</v>
      </c>
      <c r="AG21" s="1">
        <v>3642.0546880000002</v>
      </c>
      <c r="AH21" s="1">
        <v>145.6440834</v>
      </c>
      <c r="AI21" s="1">
        <v>3.28211327</v>
      </c>
      <c r="AJ21" s="1">
        <v>36.888189799999999</v>
      </c>
      <c r="AK21" s="1">
        <v>2208.173996</v>
      </c>
      <c r="AL21" s="1">
        <v>6825.3267489999998</v>
      </c>
      <c r="AM21" s="1">
        <v>25.287754209999999</v>
      </c>
      <c r="AN21" s="1">
        <v>3.1075250900000002</v>
      </c>
      <c r="AO21" s="1">
        <v>415.6941448</v>
      </c>
      <c r="AP21" s="1">
        <v>4.5489466299999997</v>
      </c>
      <c r="AQ21" s="1">
        <v>718.90448519999995</v>
      </c>
      <c r="AR21" s="1">
        <v>1862.01297</v>
      </c>
    </row>
    <row r="22" spans="1:44">
      <c r="A22" s="1">
        <v>2020</v>
      </c>
      <c r="B22" s="1" t="s">
        <v>62</v>
      </c>
      <c r="C22" s="1" t="s">
        <v>48</v>
      </c>
      <c r="D22" s="1">
        <v>2848938</v>
      </c>
      <c r="E22" s="1">
        <v>116014.495</v>
      </c>
      <c r="F22" s="1">
        <v>12462.52483</v>
      </c>
      <c r="G22" s="1">
        <v>35110.550260000004</v>
      </c>
      <c r="H22" s="1">
        <v>3454.6278120000002</v>
      </c>
      <c r="I22" s="1">
        <v>3297.09575</v>
      </c>
      <c r="J22" s="1">
        <v>2.32255426</v>
      </c>
      <c r="K22" s="1">
        <v>155.20950859999999</v>
      </c>
      <c r="L22" s="1">
        <v>1876.7703690000001</v>
      </c>
      <c r="M22" s="1">
        <v>1381.127174</v>
      </c>
      <c r="N22" s="1">
        <v>5938.7494420000003</v>
      </c>
      <c r="O22" s="1">
        <v>618.00128210000003</v>
      </c>
      <c r="P22" s="1">
        <v>38.04543133</v>
      </c>
      <c r="Q22" s="1">
        <v>33.050298560000002</v>
      </c>
      <c r="R22" s="1">
        <v>4.5268774799999996</v>
      </c>
      <c r="S22" s="1">
        <v>0.46825528999999999</v>
      </c>
      <c r="T22" s="1">
        <v>15056.142330000001</v>
      </c>
      <c r="U22" s="1">
        <v>87651.055959999998</v>
      </c>
      <c r="V22" s="1">
        <v>1784.237016</v>
      </c>
      <c r="W22" s="1">
        <v>0.19330944999999999</v>
      </c>
      <c r="X22" s="1">
        <v>1784.043707</v>
      </c>
      <c r="Y22" s="1">
        <v>23.088772800000001</v>
      </c>
      <c r="Z22" s="1">
        <v>1807.0556389999999</v>
      </c>
      <c r="AA22" s="1">
        <v>3244.770696</v>
      </c>
      <c r="AB22" s="1">
        <v>330.8912679</v>
      </c>
      <c r="AC22" s="1">
        <v>1786.9903220000001</v>
      </c>
      <c r="AD22" s="1">
        <v>28796.364750000001</v>
      </c>
      <c r="AE22" s="1">
        <v>4896.622883</v>
      </c>
      <c r="AF22" s="1">
        <v>315407.53039999999</v>
      </c>
      <c r="AG22" s="1">
        <v>2545.3192640000002</v>
      </c>
      <c r="AH22" s="1">
        <v>207.69208699999999</v>
      </c>
      <c r="AI22" s="1">
        <v>5.3768075</v>
      </c>
      <c r="AJ22" s="1">
        <v>60.002678250000002</v>
      </c>
      <c r="AK22" s="1">
        <v>2995.5783099999999</v>
      </c>
      <c r="AL22" s="1">
        <v>7354.282948</v>
      </c>
      <c r="AM22" s="1">
        <v>35.696914200000002</v>
      </c>
      <c r="AN22" s="1">
        <v>4.6737750900000004</v>
      </c>
      <c r="AO22" s="1">
        <v>368.76535580000001</v>
      </c>
      <c r="AP22" s="1">
        <v>5.4303502899999998</v>
      </c>
      <c r="AQ22" s="1">
        <v>817.75749840000003</v>
      </c>
      <c r="AR22" s="1">
        <v>1377.3733090000001</v>
      </c>
    </row>
    <row r="23" spans="1:44">
      <c r="A23" s="1">
        <v>2020</v>
      </c>
      <c r="B23" s="1" t="s">
        <v>62</v>
      </c>
      <c r="C23" s="1" t="s">
        <v>49</v>
      </c>
      <c r="D23" s="1">
        <v>2775083</v>
      </c>
      <c r="E23" s="1">
        <v>175164.0068</v>
      </c>
      <c r="F23" s="1">
        <v>19025.166410000002</v>
      </c>
      <c r="G23" s="1">
        <v>47713.610099999998</v>
      </c>
      <c r="H23" s="1">
        <v>5710.4329479999997</v>
      </c>
      <c r="I23" s="1">
        <v>5320.8975689999997</v>
      </c>
      <c r="J23" s="1">
        <v>3.37492021</v>
      </c>
      <c r="K23" s="1">
        <v>386.16045810000003</v>
      </c>
      <c r="L23" s="1">
        <v>1995.7616029999999</v>
      </c>
      <c r="M23" s="1">
        <v>1798.3170640000001</v>
      </c>
      <c r="N23" s="1">
        <v>8207.8235750000003</v>
      </c>
      <c r="O23" s="1">
        <v>893.19655439999997</v>
      </c>
      <c r="P23" s="1">
        <v>72.427231559999996</v>
      </c>
      <c r="Q23" s="1">
        <v>64.140571410000007</v>
      </c>
      <c r="R23" s="1">
        <v>7.80428386</v>
      </c>
      <c r="S23" s="1">
        <v>0.48237628999999999</v>
      </c>
      <c r="T23" s="1">
        <v>22696.767220000002</v>
      </c>
      <c r="U23" s="1">
        <v>133789.28899999999</v>
      </c>
      <c r="V23" s="1">
        <v>9324.2011029999994</v>
      </c>
      <c r="W23" s="1">
        <v>1.9901376399999999</v>
      </c>
      <c r="X23" s="1">
        <v>9322.2109660000006</v>
      </c>
      <c r="Y23" s="1">
        <v>38.880048360000004</v>
      </c>
      <c r="Z23" s="1">
        <v>9360.8003019999996</v>
      </c>
      <c r="AA23" s="1">
        <v>11024.76338</v>
      </c>
      <c r="AB23" s="1">
        <v>1724.4048479999999</v>
      </c>
      <c r="AC23" s="1">
        <v>3462.9766140000002</v>
      </c>
      <c r="AD23" s="1">
        <v>43945.835299999999</v>
      </c>
      <c r="AE23" s="1">
        <v>6232.4828349999998</v>
      </c>
      <c r="AF23" s="1">
        <v>486334.66830000002</v>
      </c>
      <c r="AG23" s="1">
        <v>4133.7427479999997</v>
      </c>
      <c r="AH23" s="1">
        <v>473.13101929999999</v>
      </c>
      <c r="AI23" s="1">
        <v>15.703966429999999</v>
      </c>
      <c r="AJ23" s="1">
        <v>130.39989439999999</v>
      </c>
      <c r="AK23" s="1">
        <v>4438.7405689999996</v>
      </c>
      <c r="AL23" s="1">
        <v>11108.507079999999</v>
      </c>
      <c r="AM23" s="1">
        <v>68.042218640000002</v>
      </c>
      <c r="AN23" s="1">
        <v>8.0174868099999994</v>
      </c>
      <c r="AO23" s="1">
        <v>556.2657964</v>
      </c>
      <c r="AP23" s="1">
        <v>12.843650159999999</v>
      </c>
      <c r="AQ23" s="1">
        <v>1269.4143979999999</v>
      </c>
      <c r="AR23" s="1">
        <v>1894.7665179999999</v>
      </c>
    </row>
    <row r="24" spans="1:44">
      <c r="A24" s="1">
        <v>2020</v>
      </c>
      <c r="B24" s="1" t="s">
        <v>62</v>
      </c>
      <c r="C24" s="1" t="s">
        <v>50</v>
      </c>
      <c r="D24" s="1">
        <v>1056923</v>
      </c>
      <c r="E24" s="1">
        <v>99830.963499999998</v>
      </c>
      <c r="F24" s="1">
        <v>11275.08304</v>
      </c>
      <c r="G24" s="1">
        <v>23884.417700000002</v>
      </c>
      <c r="H24" s="1">
        <v>3947.7092360000001</v>
      </c>
      <c r="I24" s="1">
        <v>3538.1779820000002</v>
      </c>
      <c r="J24" s="1">
        <v>2.0234542599999998</v>
      </c>
      <c r="K24" s="1">
        <v>407.50779990000001</v>
      </c>
      <c r="L24" s="1">
        <v>917.84689979999996</v>
      </c>
      <c r="M24" s="1">
        <v>925.07776799999999</v>
      </c>
      <c r="N24" s="1">
        <v>5043.373439</v>
      </c>
      <c r="O24" s="1">
        <v>513.35879580000005</v>
      </c>
      <c r="P24" s="1">
        <v>55.544316440000003</v>
      </c>
      <c r="Q24" s="1">
        <v>49.197792380000003</v>
      </c>
      <c r="R24" s="1">
        <v>6.1809977399999996</v>
      </c>
      <c r="S24" s="1">
        <v>0.16552632</v>
      </c>
      <c r="T24" s="1">
        <v>10705.61375</v>
      </c>
      <c r="U24" s="1">
        <v>77722.445330000002</v>
      </c>
      <c r="V24" s="1">
        <v>10349.0252</v>
      </c>
      <c r="W24" s="1">
        <v>3.83434249</v>
      </c>
      <c r="X24" s="1">
        <v>10345.190860000001</v>
      </c>
      <c r="Y24" s="1">
        <v>31.814937130000001</v>
      </c>
      <c r="Z24" s="1">
        <v>10376.783450000001</v>
      </c>
      <c r="AA24" s="1">
        <v>10136.477790000001</v>
      </c>
      <c r="AB24" s="1">
        <v>1852.6220920000001</v>
      </c>
      <c r="AC24" s="1">
        <v>1676.9080280000001</v>
      </c>
      <c r="AD24" s="1">
        <v>25509.67931</v>
      </c>
      <c r="AE24" s="1">
        <v>3525.2700920000002</v>
      </c>
      <c r="AF24" s="1">
        <v>258601.70980000001</v>
      </c>
      <c r="AG24" s="1">
        <v>2546.8222500000002</v>
      </c>
      <c r="AH24" s="1">
        <v>448.143438</v>
      </c>
      <c r="AI24" s="1">
        <v>21.691434139999998</v>
      </c>
      <c r="AJ24" s="1">
        <v>116.7529169</v>
      </c>
      <c r="AK24" s="1">
        <v>2577.615648</v>
      </c>
      <c r="AL24" s="1">
        <v>6669.3479139999999</v>
      </c>
      <c r="AM24" s="1">
        <v>51.362430869999997</v>
      </c>
      <c r="AN24" s="1">
        <v>6.30478717</v>
      </c>
      <c r="AO24" s="1">
        <v>327.27624930000002</v>
      </c>
      <c r="AP24" s="1">
        <v>5.7055705400000001</v>
      </c>
      <c r="AQ24" s="1">
        <v>760.03694519999999</v>
      </c>
      <c r="AR24" s="1">
        <v>1192.1219189999999</v>
      </c>
    </row>
    <row r="25" spans="1:44">
      <c r="A25" s="1">
        <v>2020</v>
      </c>
      <c r="B25" s="1" t="s">
        <v>62</v>
      </c>
      <c r="C25" s="1" t="s">
        <v>51</v>
      </c>
      <c r="D25" s="1">
        <v>756131</v>
      </c>
      <c r="E25" s="1">
        <v>97068.873600000006</v>
      </c>
      <c r="F25" s="1">
        <v>11004.2986</v>
      </c>
      <c r="G25" s="1">
        <v>22015.989860000001</v>
      </c>
      <c r="H25" s="1">
        <v>5315.4353890000002</v>
      </c>
      <c r="I25" s="1">
        <v>4633.9697720000004</v>
      </c>
      <c r="J25" s="1">
        <v>2.66999714</v>
      </c>
      <c r="K25" s="1">
        <v>678.79562009999995</v>
      </c>
      <c r="L25" s="1">
        <v>759.30567489999999</v>
      </c>
      <c r="M25" s="1">
        <v>768.35478569999998</v>
      </c>
      <c r="N25" s="1">
        <v>5360.7822880000003</v>
      </c>
      <c r="O25" s="1">
        <v>516.08590600000002</v>
      </c>
      <c r="P25" s="1">
        <v>53.447078879999999</v>
      </c>
      <c r="Q25" s="1">
        <v>47.863752159999997</v>
      </c>
      <c r="R25" s="1">
        <v>5.2531483400000001</v>
      </c>
      <c r="S25" s="1">
        <v>0.33017837999999999</v>
      </c>
      <c r="T25" s="1">
        <v>5587.3210749999998</v>
      </c>
      <c r="U25" s="1">
        <v>78708.156080000001</v>
      </c>
      <c r="V25" s="1">
        <v>13758.02583</v>
      </c>
      <c r="W25" s="1">
        <v>8.8893564600000001</v>
      </c>
      <c r="X25" s="1">
        <v>13749.136479999999</v>
      </c>
      <c r="Y25" s="1">
        <v>44.010946730000001</v>
      </c>
      <c r="Z25" s="1">
        <v>13792.79218</v>
      </c>
      <c r="AA25" s="1">
        <v>12868.193590000001</v>
      </c>
      <c r="AB25" s="1">
        <v>2069.2565949999998</v>
      </c>
      <c r="AC25" s="1">
        <v>1216.545147</v>
      </c>
      <c r="AD25" s="1">
        <v>22257.68605</v>
      </c>
      <c r="AE25" s="1">
        <v>3371.082461</v>
      </c>
      <c r="AF25" s="1">
        <v>258528.68280000001</v>
      </c>
      <c r="AG25" s="1">
        <v>2854.5144660000001</v>
      </c>
      <c r="AH25" s="1">
        <v>646.23370680000005</v>
      </c>
      <c r="AI25" s="1">
        <v>62.865232030000001</v>
      </c>
      <c r="AJ25" s="1">
        <v>161.0699492</v>
      </c>
      <c r="AK25" s="1">
        <v>2355.1987509999999</v>
      </c>
      <c r="AL25" s="1">
        <v>6296.4222849999996</v>
      </c>
      <c r="AM25" s="1">
        <v>48.813928939999997</v>
      </c>
      <c r="AN25" s="1">
        <v>5.28815919</v>
      </c>
      <c r="AO25" s="1">
        <v>347.8661113</v>
      </c>
      <c r="AP25" s="1">
        <v>3.8504569399999999</v>
      </c>
      <c r="AQ25" s="1">
        <v>816.72204699999998</v>
      </c>
      <c r="AR25" s="1">
        <v>1333.9345169999999</v>
      </c>
    </row>
    <row r="26" spans="1:44">
      <c r="A26" s="1">
        <v>2020</v>
      </c>
      <c r="B26" s="1" t="s">
        <v>62</v>
      </c>
      <c r="C26" s="1" t="s">
        <v>52</v>
      </c>
      <c r="D26" s="1">
        <v>513810</v>
      </c>
      <c r="E26" s="1">
        <v>93434.457599999994</v>
      </c>
      <c r="F26" s="1">
        <v>11518.811890000001</v>
      </c>
      <c r="G26" s="1">
        <v>20849.552540000001</v>
      </c>
      <c r="H26" s="1">
        <v>6598.1546090000002</v>
      </c>
      <c r="I26" s="1">
        <v>5596.652349</v>
      </c>
      <c r="J26" s="1">
        <v>2.6754875400000002</v>
      </c>
      <c r="K26" s="1">
        <v>998.82677190000004</v>
      </c>
      <c r="L26" s="1">
        <v>547.69365889999995</v>
      </c>
      <c r="M26" s="1">
        <v>557.20314340000004</v>
      </c>
      <c r="N26" s="1">
        <v>5065.7361090000004</v>
      </c>
      <c r="O26" s="1">
        <v>569.98191240000006</v>
      </c>
      <c r="P26" s="1">
        <v>50.95502449</v>
      </c>
      <c r="Q26" s="1">
        <v>45.457054669999998</v>
      </c>
      <c r="R26" s="1">
        <v>5.3315516299999999</v>
      </c>
      <c r="S26" s="1">
        <v>0.16641818999999999</v>
      </c>
      <c r="T26" s="1">
        <v>2334.1811400000001</v>
      </c>
      <c r="U26" s="1">
        <v>77710.551999999996</v>
      </c>
      <c r="V26" s="1">
        <v>16011.03737</v>
      </c>
      <c r="W26" s="1">
        <v>16.620112720000002</v>
      </c>
      <c r="X26" s="1">
        <v>15994.41725</v>
      </c>
      <c r="Y26" s="1">
        <v>54.974780279999997</v>
      </c>
      <c r="Z26" s="1">
        <v>16049.31043</v>
      </c>
      <c r="AA26" s="1">
        <v>15053.244790000001</v>
      </c>
      <c r="AB26" s="1">
        <v>1889.8500200000001</v>
      </c>
      <c r="AC26" s="1">
        <v>969.7590778</v>
      </c>
      <c r="AD26" s="1">
        <v>21515.8845</v>
      </c>
      <c r="AE26" s="1">
        <v>3527.6943679999999</v>
      </c>
      <c r="AF26" s="1">
        <v>281929.261</v>
      </c>
      <c r="AG26" s="1">
        <v>3475.901629</v>
      </c>
      <c r="AH26" s="1">
        <v>880.71657310000001</v>
      </c>
      <c r="AI26" s="1">
        <v>93.674843440000004</v>
      </c>
      <c r="AJ26" s="1">
        <v>200.87531759999999</v>
      </c>
      <c r="AK26" s="1">
        <v>2052.9174640000001</v>
      </c>
      <c r="AL26" s="1">
        <v>5568.2550890000002</v>
      </c>
      <c r="AM26" s="1">
        <v>46.067519330000003</v>
      </c>
      <c r="AN26" s="1">
        <v>5.3413161799999997</v>
      </c>
      <c r="AO26" s="1">
        <v>345.6355441</v>
      </c>
      <c r="AP26" s="1">
        <v>3.1111563800000002</v>
      </c>
      <c r="AQ26" s="1">
        <v>821.22326980000003</v>
      </c>
      <c r="AR26" s="1">
        <v>1526.4794059999999</v>
      </c>
    </row>
    <row r="27" spans="1:44">
      <c r="A27" s="1">
        <v>2020</v>
      </c>
      <c r="B27" s="1" t="s">
        <v>62</v>
      </c>
      <c r="C27" s="1" t="s">
        <v>53</v>
      </c>
      <c r="D27" s="1">
        <v>203614</v>
      </c>
      <c r="E27" s="1">
        <v>52087.862419999998</v>
      </c>
      <c r="F27" s="1">
        <v>6327.1438520000002</v>
      </c>
      <c r="G27" s="1">
        <v>11672.919260000001</v>
      </c>
      <c r="H27" s="1">
        <v>4309.6909539999997</v>
      </c>
      <c r="I27" s="1">
        <v>3601.8283409999999</v>
      </c>
      <c r="J27" s="1">
        <v>1.2575863300000001</v>
      </c>
      <c r="K27" s="1">
        <v>706.60502670000005</v>
      </c>
      <c r="L27" s="1">
        <v>222.01140670000001</v>
      </c>
      <c r="M27" s="1">
        <v>229.92419000000001</v>
      </c>
      <c r="N27" s="1">
        <v>2626.6091700000002</v>
      </c>
      <c r="O27" s="1">
        <v>396.71836930000001</v>
      </c>
      <c r="P27" s="1">
        <v>30.247693770000001</v>
      </c>
      <c r="Q27" s="1">
        <v>27.238115799999999</v>
      </c>
      <c r="R27" s="1">
        <v>2.9796667700000001</v>
      </c>
      <c r="S27" s="1">
        <v>2.9911199999999999E-2</v>
      </c>
      <c r="T27" s="1">
        <v>519.03269890000001</v>
      </c>
      <c r="U27" s="1">
        <v>43753.631500000003</v>
      </c>
      <c r="V27" s="1">
        <v>9908.4473610000005</v>
      </c>
      <c r="W27" s="1">
        <v>14.34477575</v>
      </c>
      <c r="X27" s="1">
        <v>9894.1025850000005</v>
      </c>
      <c r="Y27" s="1">
        <v>34.123077539999997</v>
      </c>
      <c r="Z27" s="1">
        <v>9928.219486</v>
      </c>
      <c r="AA27" s="1">
        <v>9392.7698529999998</v>
      </c>
      <c r="AB27" s="1">
        <v>947.68912780000005</v>
      </c>
      <c r="AC27" s="1">
        <v>455.62837300000001</v>
      </c>
      <c r="AD27" s="1">
        <v>12829.437239999999</v>
      </c>
      <c r="AE27" s="1">
        <v>2053.0641179999998</v>
      </c>
      <c r="AF27" s="1">
        <v>170122.22029999999</v>
      </c>
      <c r="AG27" s="1">
        <v>3375.0661359999999</v>
      </c>
      <c r="AH27" s="1">
        <v>618.43681990000005</v>
      </c>
      <c r="AI27" s="1">
        <v>50.699508969999997</v>
      </c>
      <c r="AJ27" s="1">
        <v>129.32411389999999</v>
      </c>
      <c r="AK27" s="1">
        <v>1052.6138659999999</v>
      </c>
      <c r="AL27" s="1">
        <v>2800.4248259999999</v>
      </c>
      <c r="AM27" s="1">
        <v>27.437276059999999</v>
      </c>
      <c r="AN27" s="1">
        <v>2.98193346</v>
      </c>
      <c r="AO27" s="1">
        <v>199.93394939999999</v>
      </c>
      <c r="AP27" s="1">
        <v>2.4694198300000001</v>
      </c>
      <c r="AQ27" s="1">
        <v>539.13827070000002</v>
      </c>
      <c r="AR27" s="1">
        <v>875.43121729999996</v>
      </c>
    </row>
    <row r="28" spans="1:44">
      <c r="A28" s="1">
        <v>2020</v>
      </c>
      <c r="B28" s="1" t="s">
        <v>62</v>
      </c>
      <c r="C28" s="1" t="s">
        <v>54</v>
      </c>
      <c r="D28" s="1">
        <v>151097</v>
      </c>
      <c r="E28" s="1">
        <v>54078.847029999997</v>
      </c>
      <c r="F28" s="1">
        <v>6782.781516</v>
      </c>
      <c r="G28" s="1">
        <v>12798.01339</v>
      </c>
      <c r="H28" s="1">
        <v>4839.4582929999997</v>
      </c>
      <c r="I28" s="1">
        <v>4047.4595140000001</v>
      </c>
      <c r="J28" s="1">
        <v>1.54161792</v>
      </c>
      <c r="K28" s="1">
        <v>790.45716189999996</v>
      </c>
      <c r="L28" s="1">
        <v>176.4006029</v>
      </c>
      <c r="M28" s="1">
        <v>188.9128537</v>
      </c>
      <c r="N28" s="1">
        <v>2496.733718</v>
      </c>
      <c r="O28" s="1">
        <v>510.1446512</v>
      </c>
      <c r="P28" s="1">
        <v>36.542926979999997</v>
      </c>
      <c r="Q28" s="1">
        <v>34.092972959999997</v>
      </c>
      <c r="R28" s="1">
        <v>2.3303182699999998</v>
      </c>
      <c r="S28" s="1">
        <v>0.11963575</v>
      </c>
      <c r="T28" s="1">
        <v>263.86410069999999</v>
      </c>
      <c r="U28" s="1">
        <v>45566.789879999997</v>
      </c>
      <c r="V28" s="1">
        <v>10954.887189999999</v>
      </c>
      <c r="W28" s="1">
        <v>19.87844608</v>
      </c>
      <c r="X28" s="1">
        <v>10935.008750000001</v>
      </c>
      <c r="Y28" s="1">
        <v>48.989464259999998</v>
      </c>
      <c r="Z28" s="1">
        <v>10983.99648</v>
      </c>
      <c r="AA28" s="1">
        <v>10459.416380000001</v>
      </c>
      <c r="AB28" s="1">
        <v>904.46258179999995</v>
      </c>
      <c r="AC28" s="1">
        <v>437.09331759999998</v>
      </c>
      <c r="AD28" s="1">
        <v>11214.107379999999</v>
      </c>
      <c r="AE28" s="1">
        <v>2677.46441</v>
      </c>
      <c r="AF28" s="1">
        <v>193290.65239999999</v>
      </c>
      <c r="AG28" s="1">
        <v>3054.8064730000001</v>
      </c>
      <c r="AH28" s="1">
        <v>684.63872470000001</v>
      </c>
      <c r="AI28" s="1">
        <v>90.416442189999998</v>
      </c>
      <c r="AJ28" s="1">
        <v>120.7358047</v>
      </c>
      <c r="AK28" s="1">
        <v>1095.7528440000001</v>
      </c>
      <c r="AL28" s="1">
        <v>2649.027936</v>
      </c>
      <c r="AM28" s="1">
        <v>34.306120649999997</v>
      </c>
      <c r="AN28" s="1">
        <v>2.3422792100000001</v>
      </c>
      <c r="AO28" s="1">
        <v>189.42238309999999</v>
      </c>
      <c r="AP28" s="1">
        <v>4.1663761600000004</v>
      </c>
      <c r="AQ28" s="1">
        <v>513.86933539999995</v>
      </c>
      <c r="AR28" s="1">
        <v>1158.0734620000001</v>
      </c>
    </row>
    <row r="29" spans="1:44">
      <c r="A29" s="1">
        <v>2020</v>
      </c>
      <c r="B29" s="1" t="s">
        <v>62</v>
      </c>
      <c r="C29" s="1" t="s">
        <v>55</v>
      </c>
      <c r="D29" s="1">
        <v>33828</v>
      </c>
      <c r="E29" s="1">
        <v>16296.923919999999</v>
      </c>
      <c r="F29" s="1">
        <v>2212.1510840000001</v>
      </c>
      <c r="G29" s="1">
        <v>4925.1663280000002</v>
      </c>
      <c r="H29" s="1">
        <v>1288.852584</v>
      </c>
      <c r="I29" s="1">
        <v>1035.109833</v>
      </c>
      <c r="J29" s="1">
        <v>0.87758594000000001</v>
      </c>
      <c r="K29" s="1">
        <v>252.86516460000001</v>
      </c>
      <c r="L29" s="1">
        <v>41.26540104</v>
      </c>
      <c r="M29" s="1">
        <v>45.552458940000001</v>
      </c>
      <c r="N29" s="1">
        <v>587.67441629999996</v>
      </c>
      <c r="O29" s="1">
        <v>235.6923506</v>
      </c>
      <c r="P29" s="1">
        <v>7.8085043299999999</v>
      </c>
      <c r="Q29" s="1">
        <v>7.14791183</v>
      </c>
      <c r="R29" s="1">
        <v>0.64346749999999997</v>
      </c>
      <c r="S29" s="1">
        <v>1.7125000000000001E-2</v>
      </c>
      <c r="T29" s="1">
        <v>62.42667084</v>
      </c>
      <c r="U29" s="1">
        <v>14027.651529999999</v>
      </c>
      <c r="V29" s="1">
        <v>3504.8300559999998</v>
      </c>
      <c r="W29" s="1">
        <v>8.1842583900000001</v>
      </c>
      <c r="X29" s="1">
        <v>3496.645798</v>
      </c>
      <c r="Y29" s="1">
        <v>19.341591789999999</v>
      </c>
      <c r="Z29" s="1">
        <v>3515.9863540000001</v>
      </c>
      <c r="AA29" s="1">
        <v>3227.7568540000002</v>
      </c>
      <c r="AB29" s="1">
        <v>344.49600390000001</v>
      </c>
      <c r="AC29" s="1">
        <v>81.3506517</v>
      </c>
      <c r="AD29" s="1">
        <v>4492.0146519999998</v>
      </c>
      <c r="AE29" s="1">
        <v>942.36292330000003</v>
      </c>
      <c r="AF29" s="1">
        <v>65124.498650000001</v>
      </c>
      <c r="AG29" s="1">
        <v>976.57661870000004</v>
      </c>
      <c r="AH29" s="1">
        <v>212.43759489999999</v>
      </c>
      <c r="AI29" s="1">
        <v>29.013446900000002</v>
      </c>
      <c r="AJ29" s="1">
        <v>42.772766779999998</v>
      </c>
      <c r="AK29" s="1">
        <v>292.98817150000002</v>
      </c>
      <c r="AL29" s="1">
        <v>637.31154189999995</v>
      </c>
      <c r="AM29" s="1">
        <v>7.16603207</v>
      </c>
      <c r="AN29" s="1">
        <v>0.64346749999999997</v>
      </c>
      <c r="AO29" s="1">
        <v>69.415247489999999</v>
      </c>
      <c r="AP29" s="1">
        <v>0.87392031999999997</v>
      </c>
      <c r="AQ29" s="1">
        <v>159.6111301</v>
      </c>
      <c r="AR29" s="1">
        <v>534.18540410000003</v>
      </c>
    </row>
    <row r="30" spans="1:44">
      <c r="A30" s="1">
        <v>2020</v>
      </c>
      <c r="B30" s="1" t="s">
        <v>62</v>
      </c>
      <c r="C30" s="1" t="s">
        <v>56</v>
      </c>
      <c r="D30" s="1">
        <v>17274</v>
      </c>
      <c r="E30" s="1">
        <v>11203.09462</v>
      </c>
      <c r="F30" s="1">
        <v>2211.3078719999999</v>
      </c>
      <c r="G30" s="1">
        <v>5259.8356880000001</v>
      </c>
      <c r="H30" s="1">
        <v>608.00912370000003</v>
      </c>
      <c r="I30" s="1">
        <v>394.43122649999998</v>
      </c>
      <c r="J30" s="1">
        <v>0.98271322999999999</v>
      </c>
      <c r="K30" s="1">
        <v>212.59518389999999</v>
      </c>
      <c r="L30" s="1">
        <v>19.9524516</v>
      </c>
      <c r="M30" s="1">
        <v>22.430458130000002</v>
      </c>
      <c r="N30" s="1">
        <v>296.90012969999998</v>
      </c>
      <c r="O30" s="1">
        <v>330.31845950000002</v>
      </c>
      <c r="P30" s="1">
        <v>4.6253084600000003</v>
      </c>
      <c r="Q30" s="1">
        <v>4.3105485400000001</v>
      </c>
      <c r="R30" s="1">
        <v>0.31457970000000002</v>
      </c>
      <c r="S30" s="1">
        <v>1.8022000000000001E-4</v>
      </c>
      <c r="T30" s="1">
        <v>52.642136280000003</v>
      </c>
      <c r="U30" s="1">
        <v>9868.2165559999994</v>
      </c>
      <c r="V30" s="1">
        <v>2533.7115349999999</v>
      </c>
      <c r="W30" s="1">
        <v>7.0286844100000003</v>
      </c>
      <c r="X30" s="1">
        <v>2526.6828500000001</v>
      </c>
      <c r="Y30" s="1">
        <v>8.5799005899999994</v>
      </c>
      <c r="Z30" s="1">
        <v>2535.2627510000002</v>
      </c>
      <c r="AA30" s="1">
        <v>2147.1451499999998</v>
      </c>
      <c r="AB30" s="1">
        <v>392.60283290000001</v>
      </c>
      <c r="AC30" s="1">
        <v>44.037143610000001</v>
      </c>
      <c r="AD30" s="1">
        <v>2663.0176609999999</v>
      </c>
      <c r="AE30" s="1">
        <v>836.12161490000005</v>
      </c>
      <c r="AF30" s="1">
        <v>61908.97148</v>
      </c>
      <c r="AG30" s="1">
        <v>900.8584621</v>
      </c>
      <c r="AH30" s="1">
        <v>186.50537270000001</v>
      </c>
      <c r="AI30" s="1">
        <v>1.06355095</v>
      </c>
      <c r="AJ30" s="1">
        <v>38.707433700000003</v>
      </c>
      <c r="AK30" s="1">
        <v>196.8099551</v>
      </c>
      <c r="AL30" s="1">
        <v>330.19086879999998</v>
      </c>
      <c r="AM30" s="1">
        <v>4.3289396499999997</v>
      </c>
      <c r="AN30" s="1">
        <v>0.31457970000000002</v>
      </c>
      <c r="AO30" s="1">
        <v>65.675569870000004</v>
      </c>
      <c r="AP30" s="1">
        <v>2.6875913900000001</v>
      </c>
      <c r="AQ30" s="1">
        <v>140.9917714</v>
      </c>
      <c r="AR30" s="1">
        <v>782.28203489999999</v>
      </c>
    </row>
    <row r="31" spans="1:44">
      <c r="A31" s="1">
        <v>2020</v>
      </c>
      <c r="B31" s="1" t="s">
        <v>62</v>
      </c>
      <c r="C31" s="1" t="s">
        <v>57</v>
      </c>
      <c r="D31" s="1">
        <v>3353</v>
      </c>
      <c r="E31" s="1">
        <v>3253.6748480000001</v>
      </c>
      <c r="F31" s="1">
        <v>658.45641509999996</v>
      </c>
      <c r="G31" s="1">
        <v>2170.3968439999999</v>
      </c>
      <c r="H31" s="1">
        <v>100.2541394</v>
      </c>
      <c r="I31" s="1">
        <v>43.201336650000002</v>
      </c>
      <c r="J31" s="1">
        <v>0.31693302000000001</v>
      </c>
      <c r="K31" s="1">
        <v>56.73586976</v>
      </c>
      <c r="L31" s="1">
        <v>3.7902832800000001</v>
      </c>
      <c r="M31" s="1">
        <v>4.2341960800000003</v>
      </c>
      <c r="N31" s="1">
        <v>57.007320249999999</v>
      </c>
      <c r="O31" s="1">
        <v>202.7089182</v>
      </c>
      <c r="P31" s="1">
        <v>0.73482568000000004</v>
      </c>
      <c r="Q31" s="1">
        <v>0.73482568000000004</v>
      </c>
      <c r="R31" s="1">
        <v>0</v>
      </c>
      <c r="S31" s="1">
        <v>0</v>
      </c>
      <c r="T31" s="1">
        <v>14.9951343</v>
      </c>
      <c r="U31" s="1">
        <v>2869.9500309999999</v>
      </c>
      <c r="V31" s="1">
        <v>754.32448299999999</v>
      </c>
      <c r="W31" s="1">
        <v>2.4636960800000001</v>
      </c>
      <c r="X31" s="1">
        <v>751.86078699999996</v>
      </c>
      <c r="Y31" s="1">
        <v>1.2144339200000001</v>
      </c>
      <c r="Z31" s="1">
        <v>753.07522089999998</v>
      </c>
      <c r="AA31" s="1">
        <v>584.24801390000005</v>
      </c>
      <c r="AB31" s="1">
        <v>163.5862606</v>
      </c>
      <c r="AC31" s="1">
        <v>14.75723457</v>
      </c>
      <c r="AD31" s="1">
        <v>1326.9566729999999</v>
      </c>
      <c r="AE31" s="1">
        <v>256.46987849999999</v>
      </c>
      <c r="AF31" s="1">
        <v>22965.931380000002</v>
      </c>
      <c r="AG31" s="1">
        <v>277.56518820000002</v>
      </c>
      <c r="AH31" s="1">
        <v>50.094397549999996</v>
      </c>
      <c r="AI31" s="1">
        <v>1.360752E-2</v>
      </c>
      <c r="AJ31" s="1">
        <v>10.30955333</v>
      </c>
      <c r="AK31" s="1">
        <v>40.981119540000002</v>
      </c>
      <c r="AL31" s="1">
        <v>67.43521681</v>
      </c>
      <c r="AM31" s="1">
        <v>0.73482568000000004</v>
      </c>
      <c r="AN31" s="1">
        <v>0</v>
      </c>
      <c r="AO31" s="1">
        <v>22.147525940000001</v>
      </c>
      <c r="AP31" s="1">
        <v>2.0881497000000002</v>
      </c>
      <c r="AQ31" s="1">
        <v>45.357866119999997</v>
      </c>
      <c r="AR31" s="1">
        <v>224.36636480000001</v>
      </c>
    </row>
    <row r="32" spans="1:44">
      <c r="A32" s="1">
        <v>2020</v>
      </c>
      <c r="B32" s="1" t="s">
        <v>62</v>
      </c>
      <c r="C32" s="1" t="s">
        <v>58</v>
      </c>
      <c r="D32" s="1">
        <v>2714</v>
      </c>
      <c r="E32" s="1">
        <v>4208.1387160000004</v>
      </c>
      <c r="F32" s="1">
        <v>947.60468749999995</v>
      </c>
      <c r="G32" s="1">
        <v>3090.055867</v>
      </c>
      <c r="H32" s="1">
        <v>85.09135775</v>
      </c>
      <c r="I32" s="1">
        <v>19.631100780000001</v>
      </c>
      <c r="J32" s="1">
        <v>0.38464626000000002</v>
      </c>
      <c r="K32" s="1">
        <v>65.075610710000007</v>
      </c>
      <c r="L32" s="1">
        <v>3.2488142400000002</v>
      </c>
      <c r="M32" s="1">
        <v>3.6297031500000001</v>
      </c>
      <c r="N32" s="1">
        <v>51.265471640000001</v>
      </c>
      <c r="O32" s="1">
        <v>410.4365646</v>
      </c>
      <c r="P32" s="1">
        <v>5.9704E-2</v>
      </c>
      <c r="Q32" s="1">
        <v>1.881E-2</v>
      </c>
      <c r="R32" s="1">
        <v>4.0894E-2</v>
      </c>
      <c r="S32" s="1">
        <v>0</v>
      </c>
      <c r="T32" s="1">
        <v>13.05163086</v>
      </c>
      <c r="U32" s="1">
        <v>3641.35547</v>
      </c>
      <c r="V32" s="1">
        <v>973.14201360000004</v>
      </c>
      <c r="W32" s="1">
        <v>3.5416172399999999</v>
      </c>
      <c r="X32" s="1">
        <v>969.60039630000006</v>
      </c>
      <c r="Y32" s="1">
        <v>0.36569457</v>
      </c>
      <c r="Z32" s="1">
        <v>969.96609090000004</v>
      </c>
      <c r="AA32" s="1">
        <v>724.56418129999997</v>
      </c>
      <c r="AB32" s="1">
        <v>224.91263129999999</v>
      </c>
      <c r="AC32" s="1">
        <v>15.411550719999999</v>
      </c>
      <c r="AD32" s="1">
        <v>1512.6794319999999</v>
      </c>
      <c r="AE32" s="1">
        <v>611.78416170000003</v>
      </c>
      <c r="AF32" s="1">
        <v>32961.512170000002</v>
      </c>
      <c r="AG32" s="1">
        <v>397.56348559999998</v>
      </c>
      <c r="AH32" s="1">
        <v>58.759729720000003</v>
      </c>
      <c r="AI32" s="1">
        <v>1.182222E-2</v>
      </c>
      <c r="AJ32" s="1">
        <v>9.8639904200000004</v>
      </c>
      <c r="AK32" s="1">
        <v>42.007017009999998</v>
      </c>
      <c r="AL32" s="1">
        <v>60.874552250000001</v>
      </c>
      <c r="AM32" s="1">
        <v>1.881E-2</v>
      </c>
      <c r="AN32" s="1">
        <v>4.0894E-2</v>
      </c>
      <c r="AO32" s="1">
        <v>22.868103609999999</v>
      </c>
      <c r="AP32" s="1">
        <v>1.5662222800000001</v>
      </c>
      <c r="AQ32" s="1">
        <v>185.45534979999999</v>
      </c>
      <c r="AR32" s="1">
        <v>528.90346250000005</v>
      </c>
    </row>
    <row r="33" spans="1:44">
      <c r="A33" s="1">
        <v>2020</v>
      </c>
      <c r="B33" s="1" t="s">
        <v>62</v>
      </c>
      <c r="C33" s="1" t="s">
        <v>59</v>
      </c>
      <c r="D33" s="1">
        <v>499</v>
      </c>
      <c r="E33" s="1">
        <v>1478.175031</v>
      </c>
      <c r="F33" s="1">
        <v>405.74936689999998</v>
      </c>
      <c r="G33" s="1">
        <v>969.74807039999996</v>
      </c>
      <c r="H33" s="1">
        <v>21.603414480000001</v>
      </c>
      <c r="I33" s="1">
        <v>3.01492402</v>
      </c>
      <c r="J33" s="1">
        <v>0</v>
      </c>
      <c r="K33" s="1">
        <v>18.588490459999999</v>
      </c>
      <c r="L33" s="1">
        <v>0.62337191999999997</v>
      </c>
      <c r="M33" s="1">
        <v>0.71351854999999997</v>
      </c>
      <c r="N33" s="1">
        <v>10.19241997</v>
      </c>
      <c r="O33" s="1">
        <v>240.61252690000001</v>
      </c>
      <c r="P33" s="1">
        <v>7.3899999999999993E-2</v>
      </c>
      <c r="Q33" s="1">
        <v>7.3899999999999993E-2</v>
      </c>
      <c r="R33" s="1">
        <v>0</v>
      </c>
      <c r="S33" s="1">
        <v>0</v>
      </c>
      <c r="T33" s="1">
        <v>2.2785902400000002</v>
      </c>
      <c r="U33" s="1">
        <v>1202.0772890000001</v>
      </c>
      <c r="V33" s="1">
        <v>325.36813239999998</v>
      </c>
      <c r="W33" s="1">
        <v>2.0134404899999998</v>
      </c>
      <c r="X33" s="1">
        <v>323.35469189999998</v>
      </c>
      <c r="Y33" s="1">
        <v>6.1547600000000001E-2</v>
      </c>
      <c r="Z33" s="1">
        <v>323.41623950000002</v>
      </c>
      <c r="AA33" s="1">
        <v>230.80150040000001</v>
      </c>
      <c r="AB33" s="1">
        <v>85.860233870000002</v>
      </c>
      <c r="AC33" s="1">
        <v>5.2771992799999996</v>
      </c>
      <c r="AD33" s="1">
        <v>248.92184689999999</v>
      </c>
      <c r="AE33" s="1">
        <v>46.205276689999998</v>
      </c>
      <c r="AF33" s="1">
        <v>13602.368979999999</v>
      </c>
      <c r="AG33" s="1">
        <v>103.6438461</v>
      </c>
      <c r="AH33" s="1">
        <v>18.90476941</v>
      </c>
      <c r="AI33" s="1">
        <v>0</v>
      </c>
      <c r="AJ33" s="1">
        <v>1.34247268</v>
      </c>
      <c r="AK33" s="1">
        <v>9.8866203299999995</v>
      </c>
      <c r="AL33" s="1">
        <v>11.737672359999999</v>
      </c>
      <c r="AM33" s="1">
        <v>7.3899999999999993E-2</v>
      </c>
      <c r="AN33" s="1">
        <v>0</v>
      </c>
      <c r="AO33" s="1">
        <v>6.3646282300000001</v>
      </c>
      <c r="AP33" s="1">
        <v>2.3547711599999999</v>
      </c>
      <c r="AQ33" s="1">
        <v>7.93181432</v>
      </c>
      <c r="AR33" s="1">
        <v>127.1418906</v>
      </c>
    </row>
    <row r="34" spans="1:44">
      <c r="A34" s="1">
        <v>2020</v>
      </c>
      <c r="B34" s="1" t="s">
        <v>62</v>
      </c>
      <c r="C34" s="1" t="s">
        <v>60</v>
      </c>
      <c r="D34" s="1">
        <v>199</v>
      </c>
      <c r="E34" s="1">
        <v>815.00963109999998</v>
      </c>
      <c r="F34" s="1">
        <v>157.8375064</v>
      </c>
      <c r="G34" s="1">
        <v>639.46712309999998</v>
      </c>
      <c r="H34" s="1">
        <v>10.25858163</v>
      </c>
      <c r="I34" s="1">
        <v>1.51840182</v>
      </c>
      <c r="J34" s="1">
        <v>0</v>
      </c>
      <c r="K34" s="1">
        <v>8.7401798100000008</v>
      </c>
      <c r="L34" s="1">
        <v>0.2502588</v>
      </c>
      <c r="M34" s="1">
        <v>0.28492000000000001</v>
      </c>
      <c r="N34" s="1">
        <v>4.7920368800000004</v>
      </c>
      <c r="O34" s="1">
        <v>113.5783431</v>
      </c>
      <c r="P34" s="1">
        <v>4.8000000000000001E-2</v>
      </c>
      <c r="Q34" s="1">
        <v>4.8000000000000001E-2</v>
      </c>
      <c r="R34" s="1">
        <v>0</v>
      </c>
      <c r="S34" s="1">
        <v>0</v>
      </c>
      <c r="T34" s="1">
        <v>0.72043661999999997</v>
      </c>
      <c r="U34" s="1">
        <v>685.07705399999998</v>
      </c>
      <c r="V34" s="1">
        <v>186.3279814</v>
      </c>
      <c r="W34" s="1">
        <v>1.3441759900000001</v>
      </c>
      <c r="X34" s="1">
        <v>184.98380539999999</v>
      </c>
      <c r="Y34" s="1">
        <v>5.8438500000000003E-3</v>
      </c>
      <c r="Z34" s="1">
        <v>184.9896493</v>
      </c>
      <c r="AA34" s="1">
        <v>131.08878770000001</v>
      </c>
      <c r="AB34" s="1">
        <v>50.529339759999999</v>
      </c>
      <c r="AC34" s="1">
        <v>3.9905229200000001</v>
      </c>
      <c r="AD34" s="1">
        <v>270.27742760000001</v>
      </c>
      <c r="AE34" s="1">
        <v>344.96515010000002</v>
      </c>
      <c r="AF34" s="1">
        <v>4199.4641899999997</v>
      </c>
      <c r="AG34" s="1">
        <v>227.07682969999999</v>
      </c>
      <c r="AH34" s="1">
        <v>8.3306296</v>
      </c>
      <c r="AI34" s="1">
        <v>0</v>
      </c>
      <c r="AJ34" s="1">
        <v>0.46143616999999998</v>
      </c>
      <c r="AK34" s="1">
        <v>4.5533694000000002</v>
      </c>
      <c r="AL34" s="1">
        <v>5.44322295</v>
      </c>
      <c r="AM34" s="1">
        <v>4.8000000000000001E-2</v>
      </c>
      <c r="AN34" s="1">
        <v>0</v>
      </c>
      <c r="AO34" s="1">
        <v>3.7771629400000002</v>
      </c>
      <c r="AP34" s="1">
        <v>0</v>
      </c>
      <c r="AQ34" s="1">
        <v>10.45620656</v>
      </c>
      <c r="AR34" s="1">
        <v>104.3734216</v>
      </c>
    </row>
    <row r="35" spans="1:44">
      <c r="A35" s="1">
        <v>2020</v>
      </c>
      <c r="B35" s="1" t="s">
        <v>62</v>
      </c>
      <c r="C35" s="1" t="s">
        <v>61</v>
      </c>
      <c r="D35" s="1">
        <v>235</v>
      </c>
      <c r="E35" s="1">
        <v>2199.4541089999998</v>
      </c>
      <c r="F35" s="1">
        <v>488.50590310000001</v>
      </c>
      <c r="G35" s="1">
        <v>997.57186939999997</v>
      </c>
      <c r="H35" s="1">
        <v>26.9546627</v>
      </c>
      <c r="I35" s="1">
        <v>1.6996086399999999</v>
      </c>
      <c r="J35" s="1">
        <v>0</v>
      </c>
      <c r="K35" s="1">
        <v>25.255054059999999</v>
      </c>
      <c r="L35" s="1">
        <v>0.30031056</v>
      </c>
      <c r="M35" s="1">
        <v>0.31855650000000002</v>
      </c>
      <c r="N35" s="1">
        <v>6.2816404800000001</v>
      </c>
      <c r="O35" s="1">
        <v>428.27041880000002</v>
      </c>
      <c r="P35" s="1">
        <v>0</v>
      </c>
      <c r="Q35" s="1">
        <v>0</v>
      </c>
      <c r="R35" s="1">
        <v>0</v>
      </c>
      <c r="S35" s="1">
        <v>0</v>
      </c>
      <c r="T35" s="1">
        <v>0.85447134000000002</v>
      </c>
      <c r="U35" s="1">
        <v>1736.4740489999999</v>
      </c>
      <c r="V35" s="1">
        <v>475.09615430000002</v>
      </c>
      <c r="W35" s="1">
        <v>5.00287039</v>
      </c>
      <c r="X35" s="1">
        <v>470.09328390000002</v>
      </c>
      <c r="Y35" s="1">
        <v>3.4577289999999997E-2</v>
      </c>
      <c r="Z35" s="1">
        <v>470.12786119999998</v>
      </c>
      <c r="AA35" s="1">
        <v>326.20971429999997</v>
      </c>
      <c r="AB35" s="1">
        <v>119.8665749</v>
      </c>
      <c r="AC35" s="1">
        <v>5.5758000699999997</v>
      </c>
      <c r="AD35" s="1">
        <v>708.88128400000005</v>
      </c>
      <c r="AE35" s="1">
        <v>55.923186370000003</v>
      </c>
      <c r="AF35" s="1">
        <v>12840.73969</v>
      </c>
      <c r="AG35" s="1">
        <v>69.189493959999993</v>
      </c>
      <c r="AH35" s="1">
        <v>31.794126370000001</v>
      </c>
      <c r="AI35" s="1">
        <v>0</v>
      </c>
      <c r="AJ35" s="1">
        <v>0.79389138999999997</v>
      </c>
      <c r="AK35" s="1">
        <v>3.99170756</v>
      </c>
      <c r="AL35" s="1">
        <v>7.3630079200000003</v>
      </c>
      <c r="AM35" s="1">
        <v>0</v>
      </c>
      <c r="AN35" s="1">
        <v>0</v>
      </c>
      <c r="AO35" s="1">
        <v>2.6584769700000002</v>
      </c>
      <c r="AP35" s="1">
        <v>0.60300540999999996</v>
      </c>
      <c r="AQ35" s="1">
        <v>30.646265400000001</v>
      </c>
      <c r="AR35" s="1">
        <v>115.2933259</v>
      </c>
    </row>
    <row r="36" spans="1:44">
      <c r="A36" s="1">
        <v>2020</v>
      </c>
      <c r="B36" s="1" t="s">
        <v>63</v>
      </c>
      <c r="C36" s="1" t="s">
        <v>64</v>
      </c>
      <c r="D36" s="1">
        <v>2686</v>
      </c>
      <c r="E36" s="1">
        <v>159.6228989</v>
      </c>
      <c r="F36" s="1">
        <v>18.313244300000001</v>
      </c>
      <c r="G36" s="1">
        <v>61.792042189999997</v>
      </c>
      <c r="H36" s="1">
        <v>7.8969349400000004</v>
      </c>
      <c r="I36" s="1">
        <v>7.0017494300000003</v>
      </c>
      <c r="J36" s="1">
        <v>1.2620050000000001E-2</v>
      </c>
      <c r="K36" s="1">
        <v>0.88256546000000002</v>
      </c>
      <c r="L36" s="1">
        <v>2.6450177099999999</v>
      </c>
      <c r="M36" s="1">
        <v>1.87070366</v>
      </c>
      <c r="N36" s="1">
        <v>7.3864421</v>
      </c>
      <c r="O36" s="1">
        <v>1.08918896</v>
      </c>
      <c r="P36" s="1">
        <v>2.2177479500000001</v>
      </c>
      <c r="Q36" s="1">
        <v>2.0636179600000002</v>
      </c>
      <c r="R36" s="1">
        <v>0.15412998999999999</v>
      </c>
      <c r="S36" s="1">
        <v>0</v>
      </c>
      <c r="T36" s="1">
        <v>13.110801950000001</v>
      </c>
      <c r="U36" s="1">
        <v>123.4060616</v>
      </c>
      <c r="V36" s="1">
        <v>14.68861251</v>
      </c>
      <c r="W36" s="1">
        <v>6.966E-3</v>
      </c>
      <c r="X36" s="1">
        <v>14.68164651</v>
      </c>
      <c r="Y36" s="1">
        <v>0.101232</v>
      </c>
      <c r="Z36" s="1">
        <v>14.78287851</v>
      </c>
      <c r="AA36" s="1">
        <v>15.563733859999999</v>
      </c>
      <c r="AB36" s="1">
        <v>1.6264898299999999</v>
      </c>
      <c r="AC36" s="1">
        <v>2.4514757199999999</v>
      </c>
      <c r="AD36" s="1">
        <v>37.59435216</v>
      </c>
      <c r="AE36" s="1">
        <v>5.7276486000000002</v>
      </c>
      <c r="AF36" s="1">
        <v>578.83919590000005</v>
      </c>
      <c r="AG36" s="1">
        <v>9.2483120999999997</v>
      </c>
      <c r="AH36" s="1">
        <v>1.0215597700000001</v>
      </c>
      <c r="AI36" s="1">
        <v>9.7589900000000004E-3</v>
      </c>
      <c r="AJ36" s="1">
        <v>0.26102276000000002</v>
      </c>
      <c r="AK36" s="1">
        <v>4.4797469100000002</v>
      </c>
      <c r="AL36" s="1">
        <v>9.0073236899999998</v>
      </c>
      <c r="AM36" s="1">
        <v>2.1639268700000001</v>
      </c>
      <c r="AN36" s="1">
        <v>0.17947982000000001</v>
      </c>
      <c r="AO36" s="1">
        <v>0.71272694000000003</v>
      </c>
      <c r="AP36" s="1">
        <v>0.03</v>
      </c>
      <c r="AQ36" s="1">
        <v>1.73637237</v>
      </c>
      <c r="AR36" s="1">
        <v>0.27910108</v>
      </c>
    </row>
    <row r="37" spans="1:44">
      <c r="A37" s="1">
        <v>2019</v>
      </c>
      <c r="B37" s="1" t="s">
        <v>44</v>
      </c>
      <c r="C37" s="1" t="s">
        <v>45</v>
      </c>
      <c r="D37" s="1">
        <v>1687307</v>
      </c>
      <c r="E37" s="1">
        <v>5106.2788520000004</v>
      </c>
      <c r="F37" s="1">
        <v>22436.696629999999</v>
      </c>
      <c r="G37" s="1">
        <v>145904.40340000001</v>
      </c>
      <c r="H37" s="1">
        <v>586.35741910000002</v>
      </c>
      <c r="I37" s="1">
        <v>548.82657219999999</v>
      </c>
      <c r="J37" s="1">
        <v>1.64780913</v>
      </c>
      <c r="K37" s="1">
        <v>35.883037780000002</v>
      </c>
      <c r="L37" s="1">
        <v>505.8465984</v>
      </c>
      <c r="M37" s="1">
        <v>162.91161700000001</v>
      </c>
      <c r="N37" s="1">
        <v>1844.038452</v>
      </c>
      <c r="O37" s="1">
        <v>187.7696803</v>
      </c>
      <c r="P37" s="1">
        <v>587.63430800000003</v>
      </c>
      <c r="Q37" s="1">
        <v>497.87979819999998</v>
      </c>
      <c r="R37" s="1">
        <v>89.008252229999997</v>
      </c>
      <c r="S37" s="1">
        <v>0.74625757999999998</v>
      </c>
      <c r="T37" s="1">
        <v>147.19432649999999</v>
      </c>
      <c r="U37" s="1">
        <v>1084.5264500000001</v>
      </c>
      <c r="V37" s="1">
        <v>0.23360138999999999</v>
      </c>
      <c r="W37" s="1">
        <v>0</v>
      </c>
      <c r="X37" s="1">
        <v>0.23360138999999999</v>
      </c>
      <c r="Y37" s="1">
        <v>83.038460169999993</v>
      </c>
      <c r="Z37" s="1">
        <v>83.078767350000007</v>
      </c>
      <c r="AA37" s="1">
        <v>434.55682880000001</v>
      </c>
      <c r="AB37" s="1">
        <v>6.26358631</v>
      </c>
      <c r="AC37" s="1">
        <v>357.61305190000002</v>
      </c>
      <c r="AD37" s="1">
        <v>69940.576709999994</v>
      </c>
      <c r="AE37" s="1">
        <v>34335.81162</v>
      </c>
      <c r="AF37" s="1">
        <v>1152844.844</v>
      </c>
      <c r="AG37" s="1">
        <v>6915.3485090000004</v>
      </c>
      <c r="AH37" s="1">
        <v>287.52869120000003</v>
      </c>
      <c r="AI37" s="1">
        <v>3.8984971399999999</v>
      </c>
      <c r="AJ37" s="1">
        <v>93.320159189999998</v>
      </c>
      <c r="AK37" s="1">
        <v>1415.7702180000001</v>
      </c>
      <c r="AL37" s="1">
        <v>5267.7280149999997</v>
      </c>
      <c r="AM37" s="1">
        <v>1342.7012810000001</v>
      </c>
      <c r="AN37" s="1">
        <v>239.83123610000001</v>
      </c>
      <c r="AO37" s="1">
        <v>830.70340109999995</v>
      </c>
      <c r="AP37" s="1">
        <v>63.625177870000002</v>
      </c>
      <c r="AQ37" s="1">
        <v>1797.8802450000001</v>
      </c>
      <c r="AR37" s="1">
        <v>4957.829401</v>
      </c>
    </row>
    <row r="38" spans="1:44">
      <c r="A38" s="1">
        <v>2019</v>
      </c>
      <c r="B38" s="1" t="s">
        <v>44</v>
      </c>
      <c r="C38" s="1" t="s">
        <v>46</v>
      </c>
      <c r="D38" s="1">
        <v>1005973</v>
      </c>
      <c r="E38" s="1">
        <v>13318.27405</v>
      </c>
      <c r="F38" s="1">
        <v>6147.249828</v>
      </c>
      <c r="G38" s="1">
        <v>60165.042540000002</v>
      </c>
      <c r="H38" s="1">
        <v>393.2793605</v>
      </c>
      <c r="I38" s="1">
        <v>372.95408739999999</v>
      </c>
      <c r="J38" s="1">
        <v>0.36331851999999998</v>
      </c>
      <c r="K38" s="1">
        <v>19.961954510000002</v>
      </c>
      <c r="L38" s="1">
        <v>447.2306762</v>
      </c>
      <c r="M38" s="1">
        <v>116.46125790000001</v>
      </c>
      <c r="N38" s="1">
        <v>929.76091659999997</v>
      </c>
      <c r="O38" s="1">
        <v>116.890173</v>
      </c>
      <c r="P38" s="1">
        <v>210.2276947</v>
      </c>
      <c r="Q38" s="1">
        <v>183.2437137</v>
      </c>
      <c r="R38" s="1">
        <v>26.309375249999999</v>
      </c>
      <c r="S38" s="1">
        <v>0.67460578000000004</v>
      </c>
      <c r="T38" s="1">
        <v>1602.5752970000001</v>
      </c>
      <c r="U38" s="1">
        <v>9501.848677</v>
      </c>
      <c r="V38" s="1">
        <v>0.45911594</v>
      </c>
      <c r="W38" s="1">
        <v>0</v>
      </c>
      <c r="X38" s="1">
        <v>0.45911594</v>
      </c>
      <c r="Y38" s="1">
        <v>22.649855909999999</v>
      </c>
      <c r="Z38" s="1">
        <v>22.987224680000001</v>
      </c>
      <c r="AA38" s="1">
        <v>151.3275979</v>
      </c>
      <c r="AB38" s="1">
        <v>1.7104892899999999</v>
      </c>
      <c r="AC38" s="1">
        <v>129.90080209999999</v>
      </c>
      <c r="AD38" s="1">
        <v>26692.441279999999</v>
      </c>
      <c r="AE38" s="1">
        <v>3154.2874029999998</v>
      </c>
      <c r="AF38" s="1">
        <v>335348.20130000002</v>
      </c>
      <c r="AG38" s="1">
        <v>2273.3316450000002</v>
      </c>
      <c r="AH38" s="1">
        <v>69.387472320000001</v>
      </c>
      <c r="AI38" s="1">
        <v>1.2046161</v>
      </c>
      <c r="AJ38" s="1">
        <v>19.311672210000001</v>
      </c>
      <c r="AK38" s="1">
        <v>523.71141179999995</v>
      </c>
      <c r="AL38" s="1">
        <v>1411.421832</v>
      </c>
      <c r="AM38" s="1">
        <v>257.24405289999999</v>
      </c>
      <c r="AN38" s="1">
        <v>42.992270550000001</v>
      </c>
      <c r="AO38" s="1">
        <v>230.8832026</v>
      </c>
      <c r="AP38" s="1">
        <v>15.85236342</v>
      </c>
      <c r="AQ38" s="1">
        <v>498.19919549999997</v>
      </c>
      <c r="AR38" s="1">
        <v>1443.2960129999999</v>
      </c>
    </row>
    <row r="39" spans="1:44">
      <c r="A39" s="1">
        <v>2019</v>
      </c>
      <c r="B39" s="1" t="s">
        <v>44</v>
      </c>
      <c r="C39" s="1" t="s">
        <v>47</v>
      </c>
      <c r="D39" s="1">
        <v>4062732</v>
      </c>
      <c r="E39" s="1">
        <v>110936.39599999999</v>
      </c>
      <c r="F39" s="1">
        <v>16140.7582</v>
      </c>
      <c r="G39" s="1">
        <v>94611.254709999994</v>
      </c>
      <c r="H39" s="1">
        <v>3595.5884729999998</v>
      </c>
      <c r="I39" s="1">
        <v>3442.7021119999999</v>
      </c>
      <c r="J39" s="1">
        <v>3.5030276699999998</v>
      </c>
      <c r="K39" s="1">
        <v>149.38333320000001</v>
      </c>
      <c r="L39" s="1">
        <v>4498.2677000000003</v>
      </c>
      <c r="M39" s="1">
        <v>1486.4491230000001</v>
      </c>
      <c r="N39" s="1">
        <v>4868.4479439999996</v>
      </c>
      <c r="O39" s="1">
        <v>604.12355769999999</v>
      </c>
      <c r="P39" s="1">
        <v>1481.7066339999999</v>
      </c>
      <c r="Q39" s="1">
        <v>1334.277077</v>
      </c>
      <c r="R39" s="1">
        <v>144.71730529999999</v>
      </c>
      <c r="S39" s="1">
        <v>2.7122507300000001</v>
      </c>
      <c r="T39" s="1">
        <v>12940.532649999999</v>
      </c>
      <c r="U39" s="1">
        <v>81461.279890000005</v>
      </c>
      <c r="V39" s="1">
        <v>22.774576889999999</v>
      </c>
      <c r="W39" s="1">
        <v>3.5282999999999999E-4</v>
      </c>
      <c r="X39" s="1">
        <v>22.774224060000002</v>
      </c>
      <c r="Y39" s="1">
        <v>45.274234139999997</v>
      </c>
      <c r="Z39" s="1">
        <v>67.924127130000002</v>
      </c>
      <c r="AA39" s="1">
        <v>1120.8862079999999</v>
      </c>
      <c r="AB39" s="1">
        <v>9.4819007400000004</v>
      </c>
      <c r="AC39" s="1">
        <v>1065.925714</v>
      </c>
      <c r="AD39" s="1">
        <v>57602.048779999997</v>
      </c>
      <c r="AE39" s="1">
        <v>5777.2721019999999</v>
      </c>
      <c r="AF39" s="1">
        <v>855946.58330000006</v>
      </c>
      <c r="AG39" s="1">
        <v>4859.050792</v>
      </c>
      <c r="AH39" s="1">
        <v>221.62739569999999</v>
      </c>
      <c r="AI39" s="1">
        <v>3.6915101400000001</v>
      </c>
      <c r="AJ39" s="1">
        <v>78.656683779999994</v>
      </c>
      <c r="AK39" s="1">
        <v>3121.1476469999998</v>
      </c>
      <c r="AL39" s="1">
        <v>6218.9186179999997</v>
      </c>
      <c r="AM39" s="1">
        <v>1504.6866930000001</v>
      </c>
      <c r="AN39" s="1">
        <v>174.2053224</v>
      </c>
      <c r="AO39" s="1">
        <v>569.42556969999998</v>
      </c>
      <c r="AP39" s="1">
        <v>29.80029798</v>
      </c>
      <c r="AQ39" s="1">
        <v>1135.9301049999999</v>
      </c>
      <c r="AR39" s="1">
        <v>2159.1704629999999</v>
      </c>
    </row>
    <row r="40" spans="1:44">
      <c r="A40" s="1">
        <v>2019</v>
      </c>
      <c r="B40" s="1" t="s">
        <v>44</v>
      </c>
      <c r="C40" s="1" t="s">
        <v>48</v>
      </c>
      <c r="D40" s="1">
        <v>3859033</v>
      </c>
      <c r="E40" s="1">
        <v>154097.75459999999</v>
      </c>
      <c r="F40" s="1">
        <v>20105.413809999998</v>
      </c>
      <c r="G40" s="1">
        <v>61245.814599999998</v>
      </c>
      <c r="H40" s="1">
        <v>6755.0944840000002</v>
      </c>
      <c r="I40" s="1">
        <v>6418.5271549999998</v>
      </c>
      <c r="J40" s="1">
        <v>4.7551084100000001</v>
      </c>
      <c r="K40" s="1">
        <v>331.81222050000002</v>
      </c>
      <c r="L40" s="1">
        <v>6081.6073509999997</v>
      </c>
      <c r="M40" s="1">
        <v>2526.7365789999999</v>
      </c>
      <c r="N40" s="1">
        <v>6583.2282349999996</v>
      </c>
      <c r="O40" s="1">
        <v>773.28811759999996</v>
      </c>
      <c r="P40" s="1">
        <v>1935.591281</v>
      </c>
      <c r="Q40" s="1">
        <v>1746.076671</v>
      </c>
      <c r="R40" s="1">
        <v>187.3347837</v>
      </c>
      <c r="S40" s="1">
        <v>2.1798262500000001</v>
      </c>
      <c r="T40" s="1">
        <v>16610.947189999999</v>
      </c>
      <c r="U40" s="1">
        <v>112831.2614</v>
      </c>
      <c r="V40" s="1">
        <v>1887.435033</v>
      </c>
      <c r="W40" s="1">
        <v>0.17569214999999999</v>
      </c>
      <c r="X40" s="1">
        <v>1887.2593409999999</v>
      </c>
      <c r="Y40" s="1">
        <v>41.500279620000001</v>
      </c>
      <c r="Z40" s="1">
        <v>1928.5660989999999</v>
      </c>
      <c r="AA40" s="1">
        <v>3902.7264890000001</v>
      </c>
      <c r="AB40" s="1">
        <v>301.27460869999999</v>
      </c>
      <c r="AC40" s="1">
        <v>2289.2829820000002</v>
      </c>
      <c r="AD40" s="1">
        <v>51482.533790000001</v>
      </c>
      <c r="AE40" s="1">
        <v>3407.2253380000002</v>
      </c>
      <c r="AF40" s="1">
        <v>672064.67669999995</v>
      </c>
      <c r="AG40" s="1">
        <v>4181.473919</v>
      </c>
      <c r="AH40" s="1">
        <v>332.84674080000002</v>
      </c>
      <c r="AI40" s="1">
        <v>5.2681148000000002</v>
      </c>
      <c r="AJ40" s="1">
        <v>150.89466780000001</v>
      </c>
      <c r="AK40" s="1">
        <v>4801.7305960000003</v>
      </c>
      <c r="AL40" s="1">
        <v>7545.4845059999998</v>
      </c>
      <c r="AM40" s="1">
        <v>1795.9499020000001</v>
      </c>
      <c r="AN40" s="1">
        <v>194.83299940000001</v>
      </c>
      <c r="AO40" s="1">
        <v>558.49109859999999</v>
      </c>
      <c r="AP40" s="1">
        <v>32.393520449999997</v>
      </c>
      <c r="AQ40" s="1">
        <v>1253.885763</v>
      </c>
      <c r="AR40" s="1">
        <v>1883.4476970000001</v>
      </c>
    </row>
    <row r="41" spans="1:44">
      <c r="A41" s="1">
        <v>2019</v>
      </c>
      <c r="B41" s="1" t="s">
        <v>44</v>
      </c>
      <c r="C41" s="1" t="s">
        <v>49</v>
      </c>
      <c r="D41" s="1">
        <v>3161382</v>
      </c>
      <c r="E41" s="1">
        <v>195596.87609999999</v>
      </c>
      <c r="F41" s="1">
        <v>29000.874189999999</v>
      </c>
      <c r="G41" s="1">
        <v>82664.793109999999</v>
      </c>
      <c r="H41" s="1">
        <v>8707.0629129999998</v>
      </c>
      <c r="I41" s="1">
        <v>7992.2729209999998</v>
      </c>
      <c r="J41" s="1">
        <v>5.4545333999999999</v>
      </c>
      <c r="K41" s="1">
        <v>709.33545860000004</v>
      </c>
      <c r="L41" s="1">
        <v>5117.8174859999999</v>
      </c>
      <c r="M41" s="1">
        <v>3205.2993350000002</v>
      </c>
      <c r="N41" s="1">
        <v>8621.3010190000005</v>
      </c>
      <c r="O41" s="1">
        <v>1133.1018429999999</v>
      </c>
      <c r="P41" s="1">
        <v>2664.6078699999998</v>
      </c>
      <c r="Q41" s="1">
        <v>2397.2836710000001</v>
      </c>
      <c r="R41" s="1">
        <v>264.98419000000001</v>
      </c>
      <c r="S41" s="1">
        <v>2.34000875</v>
      </c>
      <c r="T41" s="1">
        <v>21115.513599999998</v>
      </c>
      <c r="U41" s="1">
        <v>145032.1721</v>
      </c>
      <c r="V41" s="1">
        <v>9120.1176930000001</v>
      </c>
      <c r="W41" s="1">
        <v>1.73894539</v>
      </c>
      <c r="X41" s="1">
        <v>9118.3787479999992</v>
      </c>
      <c r="Y41" s="1">
        <v>72.496836450000004</v>
      </c>
      <c r="Z41" s="1">
        <v>9190.4858380000005</v>
      </c>
      <c r="AA41" s="1">
        <v>11642.670599999999</v>
      </c>
      <c r="AB41" s="1">
        <v>1430.3381039999999</v>
      </c>
      <c r="AC41" s="1">
        <v>3946.8103569999998</v>
      </c>
      <c r="AD41" s="1">
        <v>73961.060930000007</v>
      </c>
      <c r="AE41" s="1">
        <v>4599.5459220000002</v>
      </c>
      <c r="AF41" s="1">
        <v>963039.76069999998</v>
      </c>
      <c r="AG41" s="1">
        <v>6092.8956010000002</v>
      </c>
      <c r="AH41" s="1">
        <v>706.07017029999997</v>
      </c>
      <c r="AI41" s="1">
        <v>12.68813813</v>
      </c>
      <c r="AJ41" s="1">
        <v>294.51183570000001</v>
      </c>
      <c r="AK41" s="1">
        <v>6883.3869699999996</v>
      </c>
      <c r="AL41" s="1">
        <v>10449.36124</v>
      </c>
      <c r="AM41" s="1">
        <v>2471.7833860000001</v>
      </c>
      <c r="AN41" s="1">
        <v>281.47046060000002</v>
      </c>
      <c r="AO41" s="1">
        <v>817.66035239999997</v>
      </c>
      <c r="AP41" s="1">
        <v>51.535587470000003</v>
      </c>
      <c r="AQ41" s="1">
        <v>1924.7617640000001</v>
      </c>
      <c r="AR41" s="1">
        <v>3082.992937</v>
      </c>
    </row>
    <row r="42" spans="1:44">
      <c r="A42" s="1">
        <v>2019</v>
      </c>
      <c r="B42" s="1" t="s">
        <v>44</v>
      </c>
      <c r="C42" s="1" t="s">
        <v>50</v>
      </c>
      <c r="D42" s="1">
        <v>1173703</v>
      </c>
      <c r="E42" s="1">
        <v>109316.80100000001</v>
      </c>
      <c r="F42" s="1">
        <v>16582.937549999999</v>
      </c>
      <c r="G42" s="1">
        <v>41014.182549999998</v>
      </c>
      <c r="H42" s="1">
        <v>5074.6667200000002</v>
      </c>
      <c r="I42" s="1">
        <v>4357.2252259999996</v>
      </c>
      <c r="J42" s="1">
        <v>2.5764934099999999</v>
      </c>
      <c r="K42" s="1">
        <v>714.86500039999999</v>
      </c>
      <c r="L42" s="1">
        <v>2133.7019789999999</v>
      </c>
      <c r="M42" s="1">
        <v>1705.8611920000001</v>
      </c>
      <c r="N42" s="1">
        <v>5161.4763999999996</v>
      </c>
      <c r="O42" s="1">
        <v>717.26621720000003</v>
      </c>
      <c r="P42" s="1">
        <v>1776.7403079999999</v>
      </c>
      <c r="Q42" s="1">
        <v>1589.963399</v>
      </c>
      <c r="R42" s="1">
        <v>185.53732959999999</v>
      </c>
      <c r="S42" s="1">
        <v>1.2395797399999999</v>
      </c>
      <c r="T42" s="1">
        <v>10316.24761</v>
      </c>
      <c r="U42" s="1">
        <v>82430.840580000004</v>
      </c>
      <c r="V42" s="1">
        <v>10428.165370000001</v>
      </c>
      <c r="W42" s="1">
        <v>3.05629448</v>
      </c>
      <c r="X42" s="1">
        <v>10425.10907</v>
      </c>
      <c r="Y42" s="1">
        <v>46.342021559999999</v>
      </c>
      <c r="Z42" s="1">
        <v>10471.29938</v>
      </c>
      <c r="AA42" s="1">
        <v>11013.593269999999</v>
      </c>
      <c r="AB42" s="1">
        <v>1448.461716</v>
      </c>
      <c r="AC42" s="1">
        <v>2052.2439789999999</v>
      </c>
      <c r="AD42" s="1">
        <v>38748.295030000001</v>
      </c>
      <c r="AE42" s="1">
        <v>2441.8834940000002</v>
      </c>
      <c r="AF42" s="1">
        <v>460665.55900000001</v>
      </c>
      <c r="AG42" s="1">
        <v>4204.5321089999998</v>
      </c>
      <c r="AH42" s="1">
        <v>685.93689529999995</v>
      </c>
      <c r="AI42" s="1">
        <v>18.959639159999998</v>
      </c>
      <c r="AJ42" s="1">
        <v>267.36694790000001</v>
      </c>
      <c r="AK42" s="1">
        <v>4078.3731760000001</v>
      </c>
      <c r="AL42" s="1">
        <v>6312.7815559999999</v>
      </c>
      <c r="AM42" s="1">
        <v>1629.2745600000001</v>
      </c>
      <c r="AN42" s="1">
        <v>190.21119770000001</v>
      </c>
      <c r="AO42" s="1">
        <v>459.48078149999998</v>
      </c>
      <c r="AP42" s="1">
        <v>29.76671885</v>
      </c>
      <c r="AQ42" s="1">
        <v>1114.7484260000001</v>
      </c>
      <c r="AR42" s="1">
        <v>1592.9234469999999</v>
      </c>
    </row>
    <row r="43" spans="1:44">
      <c r="A43" s="1">
        <v>2019</v>
      </c>
      <c r="B43" s="1" t="s">
        <v>44</v>
      </c>
      <c r="C43" s="1" t="s">
        <v>51</v>
      </c>
      <c r="D43" s="1">
        <v>889953</v>
      </c>
      <c r="E43" s="1">
        <v>112453.79519999999</v>
      </c>
      <c r="F43" s="1">
        <v>18193.737239999999</v>
      </c>
      <c r="G43" s="1">
        <v>38128.926850000003</v>
      </c>
      <c r="H43" s="1">
        <v>6203.5568089999997</v>
      </c>
      <c r="I43" s="1">
        <v>5005.4698559999997</v>
      </c>
      <c r="J43" s="1">
        <v>3.32192146</v>
      </c>
      <c r="K43" s="1">
        <v>1194.765032</v>
      </c>
      <c r="L43" s="1">
        <v>1831.293795</v>
      </c>
      <c r="M43" s="1">
        <v>1482.3916300000001</v>
      </c>
      <c r="N43" s="1">
        <v>5531.2679399999997</v>
      </c>
      <c r="O43" s="1">
        <v>672.10842909999997</v>
      </c>
      <c r="P43" s="1">
        <v>1777.528937</v>
      </c>
      <c r="Q43" s="1">
        <v>1574.9783299999999</v>
      </c>
      <c r="R43" s="1">
        <v>201.5887189</v>
      </c>
      <c r="S43" s="1">
        <v>0.96188881000000004</v>
      </c>
      <c r="T43" s="1">
        <v>6123.4599550000003</v>
      </c>
      <c r="U43" s="1">
        <v>88832.187749999997</v>
      </c>
      <c r="V43" s="1">
        <v>15148.42145</v>
      </c>
      <c r="W43" s="1">
        <v>6.7524559899999996</v>
      </c>
      <c r="X43" s="1">
        <v>15141.669</v>
      </c>
      <c r="Y43" s="1">
        <v>52.241482670000003</v>
      </c>
      <c r="Z43" s="1">
        <v>15193.79833</v>
      </c>
      <c r="AA43" s="1">
        <v>15043.21113</v>
      </c>
      <c r="AB43" s="1">
        <v>1705.6996320000001</v>
      </c>
      <c r="AC43" s="1">
        <v>1629.213577</v>
      </c>
      <c r="AD43" s="1">
        <v>36778.176359999998</v>
      </c>
      <c r="AE43" s="1">
        <v>2477.0831389999998</v>
      </c>
      <c r="AF43" s="1">
        <v>465511.67349999998</v>
      </c>
      <c r="AG43" s="1">
        <v>3665.0741800000001</v>
      </c>
      <c r="AH43" s="1">
        <v>1050.9145430000001</v>
      </c>
      <c r="AI43" s="1">
        <v>57.656257650000001</v>
      </c>
      <c r="AJ43" s="1">
        <v>376.3378462</v>
      </c>
      <c r="AK43" s="1">
        <v>3946.953395</v>
      </c>
      <c r="AL43" s="1">
        <v>6313.7104390000004</v>
      </c>
      <c r="AM43" s="1">
        <v>1591.8743790000001</v>
      </c>
      <c r="AN43" s="1">
        <v>203.76389829999999</v>
      </c>
      <c r="AO43" s="1">
        <v>491.10519249999999</v>
      </c>
      <c r="AP43" s="1">
        <v>22.680858390000001</v>
      </c>
      <c r="AQ43" s="1">
        <v>1593.6030069999999</v>
      </c>
      <c r="AR43" s="1">
        <v>1666.8612860000001</v>
      </c>
    </row>
    <row r="44" spans="1:44">
      <c r="A44" s="1">
        <v>2019</v>
      </c>
      <c r="B44" s="1" t="s">
        <v>44</v>
      </c>
      <c r="C44" s="1" t="s">
        <v>52</v>
      </c>
      <c r="D44" s="1">
        <v>696048</v>
      </c>
      <c r="E44" s="1">
        <v>124143.54270000001</v>
      </c>
      <c r="F44" s="1">
        <v>21816.180980000001</v>
      </c>
      <c r="G44" s="1">
        <v>39017.019410000001</v>
      </c>
      <c r="H44" s="1">
        <v>8218.5561949999992</v>
      </c>
      <c r="I44" s="1">
        <v>6200.7828030000001</v>
      </c>
      <c r="J44" s="1">
        <v>4.1475591999999999</v>
      </c>
      <c r="K44" s="1">
        <v>2013.6258319999999</v>
      </c>
      <c r="L44" s="1">
        <v>1574.282557</v>
      </c>
      <c r="M44" s="1">
        <v>1304.5477310000001</v>
      </c>
      <c r="N44" s="1">
        <v>6030.8860359999999</v>
      </c>
      <c r="O44" s="1">
        <v>783.27060659999995</v>
      </c>
      <c r="P44" s="1">
        <v>1874.576476</v>
      </c>
      <c r="Q44" s="1">
        <v>1654.3828699999999</v>
      </c>
      <c r="R44" s="1">
        <v>219.43370640000001</v>
      </c>
      <c r="S44" s="1">
        <v>0.75989985999999998</v>
      </c>
      <c r="T44" s="1">
        <v>3124.784936</v>
      </c>
      <c r="U44" s="1">
        <v>101232.6381</v>
      </c>
      <c r="V44" s="1">
        <v>20581.077010000001</v>
      </c>
      <c r="W44" s="1">
        <v>14.956442969999999</v>
      </c>
      <c r="X44" s="1">
        <v>20566.120569999999</v>
      </c>
      <c r="Y44" s="1">
        <v>76.686152609999994</v>
      </c>
      <c r="Z44" s="1">
        <v>20642.649020000001</v>
      </c>
      <c r="AA44" s="1">
        <v>20187.394629999999</v>
      </c>
      <c r="AB44" s="1">
        <v>1825.0766719999999</v>
      </c>
      <c r="AC44" s="1">
        <v>1459.9681230000001</v>
      </c>
      <c r="AD44" s="1">
        <v>39212.962390000001</v>
      </c>
      <c r="AE44" s="1">
        <v>2703.5958569999998</v>
      </c>
      <c r="AF44" s="1">
        <v>532881.08360000001</v>
      </c>
      <c r="AG44" s="1">
        <v>4819.8408220000001</v>
      </c>
      <c r="AH44" s="1">
        <v>1689.84764</v>
      </c>
      <c r="AI44" s="1">
        <v>96.879162940000001</v>
      </c>
      <c r="AJ44" s="1">
        <v>529.65459729999998</v>
      </c>
      <c r="AK44" s="1">
        <v>4184.7068939999999</v>
      </c>
      <c r="AL44" s="1">
        <v>6550.7970439999999</v>
      </c>
      <c r="AM44" s="1">
        <v>1666.744148</v>
      </c>
      <c r="AN44" s="1">
        <v>221.1286297</v>
      </c>
      <c r="AO44" s="1">
        <v>551.67940399999998</v>
      </c>
      <c r="AP44" s="1">
        <v>17.333935440000001</v>
      </c>
      <c r="AQ44" s="1">
        <v>1531.2133470000001</v>
      </c>
      <c r="AR44" s="1">
        <v>2350.7263929999999</v>
      </c>
    </row>
    <row r="45" spans="1:44">
      <c r="A45" s="1">
        <v>2019</v>
      </c>
      <c r="B45" s="1" t="s">
        <v>44</v>
      </c>
      <c r="C45" s="1" t="s">
        <v>53</v>
      </c>
      <c r="D45" s="1">
        <v>315668</v>
      </c>
      <c r="E45" s="1">
        <v>78118.720050000004</v>
      </c>
      <c r="F45" s="1">
        <v>14584.765719999999</v>
      </c>
      <c r="G45" s="1">
        <v>30280.048309999998</v>
      </c>
      <c r="H45" s="1">
        <v>5750.6157309999999</v>
      </c>
      <c r="I45" s="1">
        <v>4149.6791510000003</v>
      </c>
      <c r="J45" s="1">
        <v>2.7914638200000002</v>
      </c>
      <c r="K45" s="1">
        <v>1598.1451159999999</v>
      </c>
      <c r="L45" s="1">
        <v>723.54824259999998</v>
      </c>
      <c r="M45" s="1">
        <v>610.38044339999999</v>
      </c>
      <c r="N45" s="1">
        <v>3560.3822180000002</v>
      </c>
      <c r="O45" s="1">
        <v>569.52693780000004</v>
      </c>
      <c r="P45" s="1">
        <v>1060.719445</v>
      </c>
      <c r="Q45" s="1">
        <v>926.45114530000001</v>
      </c>
      <c r="R45" s="1">
        <v>133.8266093</v>
      </c>
      <c r="S45" s="1">
        <v>0.44168994</v>
      </c>
      <c r="T45" s="1">
        <v>886.01976219999995</v>
      </c>
      <c r="U45" s="1">
        <v>64957.527269999999</v>
      </c>
      <c r="V45" s="1">
        <v>14572.13875</v>
      </c>
      <c r="W45" s="1">
        <v>16.0028559</v>
      </c>
      <c r="X45" s="1">
        <v>14556.13589</v>
      </c>
      <c r="Y45" s="1">
        <v>56.253333429999998</v>
      </c>
      <c r="Z45" s="1">
        <v>14612.372799999999</v>
      </c>
      <c r="AA45" s="1">
        <v>14254.08548</v>
      </c>
      <c r="AB45" s="1">
        <v>1127.510734</v>
      </c>
      <c r="AC45" s="1">
        <v>833.99502559999996</v>
      </c>
      <c r="AD45" s="1">
        <v>24229.82387</v>
      </c>
      <c r="AE45" s="1">
        <v>2331.6557830000002</v>
      </c>
      <c r="AF45" s="1">
        <v>381993.8089</v>
      </c>
      <c r="AG45" s="1">
        <v>3457.3723089999999</v>
      </c>
      <c r="AH45" s="1">
        <v>1346.870561</v>
      </c>
      <c r="AI45" s="1">
        <v>70.781619539999994</v>
      </c>
      <c r="AJ45" s="1">
        <v>350.73498080000002</v>
      </c>
      <c r="AK45" s="1">
        <v>2445.924512</v>
      </c>
      <c r="AL45" s="1">
        <v>3803.2540130000002</v>
      </c>
      <c r="AM45" s="1">
        <v>932.79521139999997</v>
      </c>
      <c r="AN45" s="1">
        <v>135.01510830000001</v>
      </c>
      <c r="AO45" s="1">
        <v>345.32975900000002</v>
      </c>
      <c r="AP45" s="1">
        <v>12.742182059999999</v>
      </c>
      <c r="AQ45" s="1">
        <v>1113.7198000000001</v>
      </c>
      <c r="AR45" s="1">
        <v>2850.6806470000001</v>
      </c>
    </row>
    <row r="46" spans="1:44">
      <c r="A46" s="1">
        <v>2019</v>
      </c>
      <c r="B46" s="1" t="s">
        <v>44</v>
      </c>
      <c r="C46" s="1" t="s">
        <v>54</v>
      </c>
      <c r="D46" s="1">
        <v>262803</v>
      </c>
      <c r="E46" s="1">
        <v>90675.766210000002</v>
      </c>
      <c r="F46" s="1">
        <v>17671.966390000001</v>
      </c>
      <c r="G46" s="1">
        <v>32024.81378</v>
      </c>
      <c r="H46" s="1">
        <v>6883.7086250000002</v>
      </c>
      <c r="I46" s="1">
        <v>4903.4259620000003</v>
      </c>
      <c r="J46" s="1">
        <v>3.3550735</v>
      </c>
      <c r="K46" s="1">
        <v>1976.9275889999999</v>
      </c>
      <c r="L46" s="1">
        <v>617.03354709999996</v>
      </c>
      <c r="M46" s="1">
        <v>538.27284159999999</v>
      </c>
      <c r="N46" s="1">
        <v>3856.1800790000002</v>
      </c>
      <c r="O46" s="1">
        <v>971.49557819999995</v>
      </c>
      <c r="P46" s="1">
        <v>1122.3188250000001</v>
      </c>
      <c r="Q46" s="1">
        <v>986.19400459999997</v>
      </c>
      <c r="R46" s="1">
        <v>135.4125664</v>
      </c>
      <c r="S46" s="1">
        <v>0.71225442999999999</v>
      </c>
      <c r="T46" s="1">
        <v>546.2752557</v>
      </c>
      <c r="U46" s="1">
        <v>76140.481450000007</v>
      </c>
      <c r="V46" s="1">
        <v>18199.08898</v>
      </c>
      <c r="W46" s="1">
        <v>26.985894250000001</v>
      </c>
      <c r="X46" s="1">
        <v>18172.103090000001</v>
      </c>
      <c r="Y46" s="1">
        <v>86.05688988</v>
      </c>
      <c r="Z46" s="1">
        <v>18258.14446</v>
      </c>
      <c r="AA46" s="1">
        <v>17696.486209999999</v>
      </c>
      <c r="AB46" s="1">
        <v>1329.827182</v>
      </c>
      <c r="AC46" s="1">
        <v>863.63831919999996</v>
      </c>
      <c r="AD46" s="1">
        <v>28722.16128</v>
      </c>
      <c r="AE46" s="1">
        <v>3336.751835</v>
      </c>
      <c r="AF46" s="1">
        <v>462791.19179999997</v>
      </c>
      <c r="AG46" s="1">
        <v>4507.9033630000004</v>
      </c>
      <c r="AH46" s="1">
        <v>1687.3351809999999</v>
      </c>
      <c r="AI46" s="1">
        <v>140.9131362</v>
      </c>
      <c r="AJ46" s="1">
        <v>386.52901639999999</v>
      </c>
      <c r="AK46" s="1">
        <v>2643.7869609999998</v>
      </c>
      <c r="AL46" s="1">
        <v>4106.9086820000002</v>
      </c>
      <c r="AM46" s="1">
        <v>995.24850579999998</v>
      </c>
      <c r="AN46" s="1">
        <v>136.26866290000001</v>
      </c>
      <c r="AO46" s="1">
        <v>366.7791484</v>
      </c>
      <c r="AP46" s="1">
        <v>21.671647279999998</v>
      </c>
      <c r="AQ46" s="1">
        <v>1466.9379329999999</v>
      </c>
      <c r="AR46" s="1">
        <v>3100.5567369999999</v>
      </c>
    </row>
    <row r="47" spans="1:44">
      <c r="A47" s="1">
        <v>2019</v>
      </c>
      <c r="B47" s="1" t="s">
        <v>44</v>
      </c>
      <c r="C47" s="1" t="s">
        <v>55</v>
      </c>
      <c r="D47" s="1">
        <v>85189</v>
      </c>
      <c r="E47" s="1">
        <v>39922.596339999996</v>
      </c>
      <c r="F47" s="1">
        <v>9062.9607990000004</v>
      </c>
      <c r="G47" s="1">
        <v>16355.432709999999</v>
      </c>
      <c r="H47" s="1">
        <v>2747.843738</v>
      </c>
      <c r="I47" s="1">
        <v>1841.347045</v>
      </c>
      <c r="J47" s="1">
        <v>2.2996633000000002</v>
      </c>
      <c r="K47" s="1">
        <v>904.19702970000003</v>
      </c>
      <c r="L47" s="1">
        <v>207.9377618</v>
      </c>
      <c r="M47" s="1">
        <v>191.62793070000001</v>
      </c>
      <c r="N47" s="1">
        <v>1342.488006</v>
      </c>
      <c r="O47" s="1">
        <v>591.14843840000003</v>
      </c>
      <c r="P47" s="1">
        <v>335.81317519999999</v>
      </c>
      <c r="Q47" s="1">
        <v>291.39900299999999</v>
      </c>
      <c r="R47" s="1">
        <v>44.344256010000002</v>
      </c>
      <c r="S47" s="1">
        <v>6.9916179999999994E-2</v>
      </c>
      <c r="T47" s="1">
        <v>163.4888497</v>
      </c>
      <c r="U47" s="1">
        <v>34342.24843</v>
      </c>
      <c r="V47" s="1">
        <v>8556.3522759999996</v>
      </c>
      <c r="W47" s="1">
        <v>16.4850037</v>
      </c>
      <c r="X47" s="1">
        <v>8539.8672719999995</v>
      </c>
      <c r="Y47" s="1">
        <v>37.646946909999997</v>
      </c>
      <c r="Z47" s="1">
        <v>8577.5120189999998</v>
      </c>
      <c r="AA47" s="1">
        <v>8097.0070599999999</v>
      </c>
      <c r="AB47" s="1">
        <v>669.21516229999997</v>
      </c>
      <c r="AC47" s="1">
        <v>253.8642739</v>
      </c>
      <c r="AD47" s="1">
        <v>14217.072899999999</v>
      </c>
      <c r="AE47" s="1">
        <v>1512.863071</v>
      </c>
      <c r="AF47" s="1">
        <v>233010.0079</v>
      </c>
      <c r="AG47" s="1">
        <v>2165.4812969999998</v>
      </c>
      <c r="AH47" s="1">
        <v>772.67888779999998</v>
      </c>
      <c r="AI47" s="1">
        <v>69.69791807</v>
      </c>
      <c r="AJ47" s="1">
        <v>160.41009740000001</v>
      </c>
      <c r="AK47" s="1">
        <v>1124.0795989999999</v>
      </c>
      <c r="AL47" s="1">
        <v>1455.8664510000001</v>
      </c>
      <c r="AM47" s="1">
        <v>293.001305</v>
      </c>
      <c r="AN47" s="1">
        <v>44.784835459999996</v>
      </c>
      <c r="AO47" s="1">
        <v>166.8762423</v>
      </c>
      <c r="AP47" s="1">
        <v>10.443228250000001</v>
      </c>
      <c r="AQ47" s="1">
        <v>609.65418729999999</v>
      </c>
      <c r="AR47" s="1">
        <v>1143.024367</v>
      </c>
    </row>
    <row r="48" spans="1:44">
      <c r="A48" s="1">
        <v>2019</v>
      </c>
      <c r="B48" s="1" t="s">
        <v>44</v>
      </c>
      <c r="C48" s="1" t="s">
        <v>56</v>
      </c>
      <c r="D48" s="1">
        <v>48784</v>
      </c>
      <c r="E48" s="1">
        <v>31042.939139999999</v>
      </c>
      <c r="F48" s="1">
        <v>9032.7159929999998</v>
      </c>
      <c r="G48" s="1">
        <v>21187.014169999999</v>
      </c>
      <c r="H48" s="1">
        <v>1523.4560730000001</v>
      </c>
      <c r="I48" s="1">
        <v>692.83588899999995</v>
      </c>
      <c r="J48" s="1">
        <v>1.71276384</v>
      </c>
      <c r="K48" s="1">
        <v>828.90741990000004</v>
      </c>
      <c r="L48" s="1">
        <v>121.8396343</v>
      </c>
      <c r="M48" s="1">
        <v>113.7863322</v>
      </c>
      <c r="N48" s="1">
        <v>769.92394639999998</v>
      </c>
      <c r="O48" s="1">
        <v>832.55276279999998</v>
      </c>
      <c r="P48" s="1">
        <v>223.59237390000001</v>
      </c>
      <c r="Q48" s="1">
        <v>188.25564370000001</v>
      </c>
      <c r="R48" s="1">
        <v>35.301695879999997</v>
      </c>
      <c r="S48" s="1">
        <v>3.5034320000000001E-2</v>
      </c>
      <c r="T48" s="1">
        <v>131.2032365</v>
      </c>
      <c r="U48" s="1">
        <v>27326.584780000001</v>
      </c>
      <c r="V48" s="1">
        <v>7006.9237380000004</v>
      </c>
      <c r="W48" s="1">
        <v>16.645886239999999</v>
      </c>
      <c r="X48" s="1">
        <v>6990.2778520000002</v>
      </c>
      <c r="Y48" s="1">
        <v>18.238973519999998</v>
      </c>
      <c r="Z48" s="1">
        <v>7008.5165969999998</v>
      </c>
      <c r="AA48" s="1">
        <v>6345.9828299999999</v>
      </c>
      <c r="AB48" s="1">
        <v>713.83496600000001</v>
      </c>
      <c r="AC48" s="1">
        <v>178.2193627</v>
      </c>
      <c r="AD48" s="1">
        <v>15269.386619999999</v>
      </c>
      <c r="AE48" s="1">
        <v>2845.2622200000001</v>
      </c>
      <c r="AF48" s="1">
        <v>262296.01169999997</v>
      </c>
      <c r="AG48" s="1">
        <v>1900.5366329999999</v>
      </c>
      <c r="AH48" s="1">
        <v>737.04983489999995</v>
      </c>
      <c r="AI48" s="1">
        <v>5.7275</v>
      </c>
      <c r="AJ48" s="1">
        <v>142.25589210000001</v>
      </c>
      <c r="AK48" s="1">
        <v>822.64775239999994</v>
      </c>
      <c r="AL48" s="1">
        <v>866.27819769999996</v>
      </c>
      <c r="AM48" s="1">
        <v>190.02576590000001</v>
      </c>
      <c r="AN48" s="1">
        <v>35.651912369999998</v>
      </c>
      <c r="AO48" s="1">
        <v>151.65519549999999</v>
      </c>
      <c r="AP48" s="1">
        <v>12.184198719999999</v>
      </c>
      <c r="AQ48" s="1">
        <v>531.37767389999999</v>
      </c>
      <c r="AR48" s="1">
        <v>2732.7824150000001</v>
      </c>
    </row>
    <row r="49" spans="1:44">
      <c r="A49" s="1">
        <v>2019</v>
      </c>
      <c r="B49" s="1" t="s">
        <v>44</v>
      </c>
      <c r="C49" s="1" t="s">
        <v>57</v>
      </c>
      <c r="D49" s="1">
        <v>12861</v>
      </c>
      <c r="E49" s="1">
        <v>11810.03613</v>
      </c>
      <c r="F49" s="1">
        <v>4217.2936499999996</v>
      </c>
      <c r="G49" s="1">
        <v>9140.070205</v>
      </c>
      <c r="H49" s="1">
        <v>418.00103630000001</v>
      </c>
      <c r="I49" s="1">
        <v>126.4648627</v>
      </c>
      <c r="J49" s="1">
        <v>0.54685713999999996</v>
      </c>
      <c r="K49" s="1">
        <v>290.98931649999997</v>
      </c>
      <c r="L49" s="1">
        <v>32.003550359999998</v>
      </c>
      <c r="M49" s="1">
        <v>30.021429650000002</v>
      </c>
      <c r="N49" s="1">
        <v>212.33235529999999</v>
      </c>
      <c r="O49" s="1">
        <v>462.75988050000001</v>
      </c>
      <c r="P49" s="1">
        <v>61.267269050000003</v>
      </c>
      <c r="Q49" s="1">
        <v>51.066041040000002</v>
      </c>
      <c r="R49" s="1">
        <v>10.20009059</v>
      </c>
      <c r="S49" s="1">
        <v>1.1374200000000001E-3</v>
      </c>
      <c r="T49" s="1">
        <v>46.040926319999997</v>
      </c>
      <c r="U49" s="1">
        <v>10547.609689999999</v>
      </c>
      <c r="V49" s="1">
        <v>2766.7998360000001</v>
      </c>
      <c r="W49" s="1">
        <v>7.2327012100000001</v>
      </c>
      <c r="X49" s="1">
        <v>2759.5671349999998</v>
      </c>
      <c r="Y49" s="1">
        <v>2.7850454999999998</v>
      </c>
      <c r="Z49" s="1">
        <v>2762.3521799999999</v>
      </c>
      <c r="AA49" s="1">
        <v>2426.780593</v>
      </c>
      <c r="AB49" s="1">
        <v>306.57685650000002</v>
      </c>
      <c r="AC49" s="1">
        <v>66.161840729999994</v>
      </c>
      <c r="AD49" s="1">
        <v>4523.8329370000001</v>
      </c>
      <c r="AE49" s="1">
        <v>718.35790220000001</v>
      </c>
      <c r="AF49" s="1">
        <v>116767.82369999999</v>
      </c>
      <c r="AG49" s="1">
        <v>1070.79648</v>
      </c>
      <c r="AH49" s="1">
        <v>261.62153080000002</v>
      </c>
      <c r="AI49" s="1">
        <v>0.38766542999999998</v>
      </c>
      <c r="AJ49" s="1">
        <v>48.430832600000002</v>
      </c>
      <c r="AK49" s="1">
        <v>268.3232362</v>
      </c>
      <c r="AL49" s="1">
        <v>248.93381479999999</v>
      </c>
      <c r="AM49" s="1">
        <v>51.918175259999998</v>
      </c>
      <c r="AN49" s="1">
        <v>10.403643669999999</v>
      </c>
      <c r="AO49" s="1">
        <v>62.553243520000002</v>
      </c>
      <c r="AP49" s="1">
        <v>8.0661187400000003</v>
      </c>
      <c r="AQ49" s="1">
        <v>285.01669170000002</v>
      </c>
      <c r="AR49" s="1">
        <v>1644.8473019999999</v>
      </c>
    </row>
    <row r="50" spans="1:44">
      <c r="A50" s="1">
        <v>2019</v>
      </c>
      <c r="B50" s="1" t="s">
        <v>44</v>
      </c>
      <c r="C50" s="1" t="s">
        <v>58</v>
      </c>
      <c r="D50" s="1">
        <v>11698</v>
      </c>
      <c r="E50" s="1">
        <v>16859.643489999999</v>
      </c>
      <c r="F50" s="1">
        <v>7394.8408360000003</v>
      </c>
      <c r="G50" s="1">
        <v>12610.55443</v>
      </c>
      <c r="H50" s="1">
        <v>435.91690210000002</v>
      </c>
      <c r="I50" s="1">
        <v>85.172408340000004</v>
      </c>
      <c r="J50" s="1">
        <v>1.14378684</v>
      </c>
      <c r="K50" s="1">
        <v>349.60070689999998</v>
      </c>
      <c r="L50" s="1">
        <v>29.095998120000001</v>
      </c>
      <c r="M50" s="1">
        <v>26.768760230000002</v>
      </c>
      <c r="N50" s="1">
        <v>214.0276605</v>
      </c>
      <c r="O50" s="1">
        <v>1133.51448</v>
      </c>
      <c r="P50" s="1">
        <v>76.892071209999997</v>
      </c>
      <c r="Q50" s="1">
        <v>63.58857982</v>
      </c>
      <c r="R50" s="1">
        <v>13.01703139</v>
      </c>
      <c r="S50" s="1">
        <v>0.28645999999999999</v>
      </c>
      <c r="T50" s="1">
        <v>46.376013120000003</v>
      </c>
      <c r="U50" s="1">
        <v>14897.051600000001</v>
      </c>
      <c r="V50" s="1">
        <v>3975.1308720000002</v>
      </c>
      <c r="W50" s="1">
        <v>12.215104520000001</v>
      </c>
      <c r="X50" s="1">
        <v>3962.915767</v>
      </c>
      <c r="Y50" s="1">
        <v>5.39084611</v>
      </c>
      <c r="Z50" s="1">
        <v>3968.3066140000001</v>
      </c>
      <c r="AA50" s="1">
        <v>3369.9553780000001</v>
      </c>
      <c r="AB50" s="1">
        <v>514.05496389999996</v>
      </c>
      <c r="AC50" s="1">
        <v>89.869615429999996</v>
      </c>
      <c r="AD50" s="1">
        <v>11434.885060000001</v>
      </c>
      <c r="AE50" s="1">
        <v>1593.6683390000001</v>
      </c>
      <c r="AF50" s="1">
        <v>201003.36470000001</v>
      </c>
      <c r="AG50" s="1">
        <v>1455.569649</v>
      </c>
      <c r="AH50" s="1">
        <v>318.74527610000001</v>
      </c>
      <c r="AI50" s="1">
        <v>0.11017074</v>
      </c>
      <c r="AJ50" s="1">
        <v>51.374302649999997</v>
      </c>
      <c r="AK50" s="1">
        <v>291.9295717</v>
      </c>
      <c r="AL50" s="1">
        <v>261.21684920000001</v>
      </c>
      <c r="AM50" s="1">
        <v>64.127089339999998</v>
      </c>
      <c r="AN50" s="1">
        <v>14.57338324</v>
      </c>
      <c r="AO50" s="1">
        <v>96.724051000000003</v>
      </c>
      <c r="AP50" s="1">
        <v>11.7521735</v>
      </c>
      <c r="AQ50" s="1">
        <v>666.68714629999999</v>
      </c>
      <c r="AR50" s="1">
        <v>3037.1364319999998</v>
      </c>
    </row>
    <row r="51" spans="1:44">
      <c r="A51" s="1">
        <v>2019</v>
      </c>
      <c r="B51" s="1" t="s">
        <v>44</v>
      </c>
      <c r="C51" s="1" t="s">
        <v>59</v>
      </c>
      <c r="D51" s="1">
        <v>2272</v>
      </c>
      <c r="E51" s="1">
        <v>6073.0709969999998</v>
      </c>
      <c r="F51" s="1">
        <v>2112.2374140000002</v>
      </c>
      <c r="G51" s="1">
        <v>4532.6359490000004</v>
      </c>
      <c r="H51" s="1">
        <v>133.4013831</v>
      </c>
      <c r="I51" s="1">
        <v>15.316108440000001</v>
      </c>
      <c r="J51" s="1">
        <v>4.5593400000000003E-3</v>
      </c>
      <c r="K51" s="1">
        <v>118.0807154</v>
      </c>
      <c r="L51" s="1">
        <v>6.1267904399999997</v>
      </c>
      <c r="M51" s="1">
        <v>5.4503451299999996</v>
      </c>
      <c r="N51" s="1">
        <v>53.282856680000002</v>
      </c>
      <c r="O51" s="1">
        <v>615.93226230000005</v>
      </c>
      <c r="P51" s="1">
        <v>23.437662499999998</v>
      </c>
      <c r="Q51" s="1">
        <v>18.7723476</v>
      </c>
      <c r="R51" s="1">
        <v>4.6653149000000003</v>
      </c>
      <c r="S51" s="1">
        <v>0</v>
      </c>
      <c r="T51" s="1">
        <v>7.8075224399999996</v>
      </c>
      <c r="U51" s="1">
        <v>5227.6321740000003</v>
      </c>
      <c r="V51" s="1">
        <v>1414.0096229999999</v>
      </c>
      <c r="W51" s="1">
        <v>5.2540792500000002</v>
      </c>
      <c r="X51" s="1">
        <v>1408.755543</v>
      </c>
      <c r="Y51" s="1">
        <v>0.52429261000000005</v>
      </c>
      <c r="Z51" s="1">
        <v>1409.2798359999999</v>
      </c>
      <c r="AA51" s="1">
        <v>1172.7090820000001</v>
      </c>
      <c r="AB51" s="1">
        <v>203.74757009999999</v>
      </c>
      <c r="AC51" s="1">
        <v>28.085844819999998</v>
      </c>
      <c r="AD51" s="1">
        <v>5595.9819639999996</v>
      </c>
      <c r="AE51" s="1">
        <v>561.03750030000003</v>
      </c>
      <c r="AF51" s="1">
        <v>68769.317859999996</v>
      </c>
      <c r="AG51" s="1">
        <v>404.76883120000002</v>
      </c>
      <c r="AH51" s="1">
        <v>114.35410210000001</v>
      </c>
      <c r="AI51" s="1">
        <v>6.0455400000000003E-3</v>
      </c>
      <c r="AJ51" s="1">
        <v>15.298209849999999</v>
      </c>
      <c r="AK51" s="1">
        <v>70.900741749999995</v>
      </c>
      <c r="AL51" s="1">
        <v>63.98506441</v>
      </c>
      <c r="AM51" s="1">
        <v>18.825054940000001</v>
      </c>
      <c r="AN51" s="1">
        <v>4.6653149000000003</v>
      </c>
      <c r="AO51" s="1">
        <v>26.371262999999999</v>
      </c>
      <c r="AP51" s="1">
        <v>7.0407364799999996</v>
      </c>
      <c r="AQ51" s="1">
        <v>107.31001190000001</v>
      </c>
      <c r="AR51" s="1">
        <v>605.00208329999998</v>
      </c>
    </row>
    <row r="52" spans="1:44">
      <c r="A52" s="1">
        <v>2019</v>
      </c>
      <c r="B52" s="1" t="s">
        <v>44</v>
      </c>
      <c r="C52" s="1" t="s">
        <v>60</v>
      </c>
      <c r="D52" s="1">
        <v>928</v>
      </c>
      <c r="E52" s="1">
        <v>3674.8457579999999</v>
      </c>
      <c r="F52" s="1">
        <v>1101.526979</v>
      </c>
      <c r="G52" s="1">
        <v>1804.407035</v>
      </c>
      <c r="H52" s="1">
        <v>70.820095300000006</v>
      </c>
      <c r="I52" s="1">
        <v>8.0880572300000004</v>
      </c>
      <c r="J52" s="1">
        <v>0</v>
      </c>
      <c r="K52" s="1">
        <v>62.732038070000002</v>
      </c>
      <c r="L52" s="1">
        <v>2.6504682000000002</v>
      </c>
      <c r="M52" s="1">
        <v>2.3689218400000001</v>
      </c>
      <c r="N52" s="1">
        <v>24.361134020000001</v>
      </c>
      <c r="O52" s="1">
        <v>509.76567019999999</v>
      </c>
      <c r="P52" s="1">
        <v>10.795869250000001</v>
      </c>
      <c r="Q52" s="1">
        <v>8.1514761</v>
      </c>
      <c r="R52" s="1">
        <v>2.64439315</v>
      </c>
      <c r="S52" s="1">
        <v>0</v>
      </c>
      <c r="T52" s="1">
        <v>3.20007894</v>
      </c>
      <c r="U52" s="1">
        <v>3050.8835199999999</v>
      </c>
      <c r="V52" s="1">
        <v>829.34741429999997</v>
      </c>
      <c r="W52" s="1">
        <v>3.3563807400000001</v>
      </c>
      <c r="X52" s="1">
        <v>825.99103349999996</v>
      </c>
      <c r="Y52" s="1">
        <v>8.8882489999999995E-2</v>
      </c>
      <c r="Z52" s="1">
        <v>826.07991600000003</v>
      </c>
      <c r="AA52" s="1">
        <v>684.15595250000001</v>
      </c>
      <c r="AB52" s="1">
        <v>121.1333911</v>
      </c>
      <c r="AC52" s="1">
        <v>14.75146086</v>
      </c>
      <c r="AD52" s="1">
        <v>1878.9211809999999</v>
      </c>
      <c r="AE52" s="1">
        <v>254.09734549999999</v>
      </c>
      <c r="AF52" s="1">
        <v>31236.514139999999</v>
      </c>
      <c r="AG52" s="1">
        <v>117.5078434</v>
      </c>
      <c r="AH52" s="1">
        <v>59.520182249999998</v>
      </c>
      <c r="AI52" s="1">
        <v>0</v>
      </c>
      <c r="AJ52" s="1">
        <v>5.9123669000000003</v>
      </c>
      <c r="AK52" s="1">
        <v>36.079152149999999</v>
      </c>
      <c r="AL52" s="1">
        <v>30.354591320000001</v>
      </c>
      <c r="AM52" s="1">
        <v>8.26104181</v>
      </c>
      <c r="AN52" s="1">
        <v>2.64439315</v>
      </c>
      <c r="AO52" s="1">
        <v>12.741926380000001</v>
      </c>
      <c r="AP52" s="1">
        <v>1.5766289899999999</v>
      </c>
      <c r="AQ52" s="1">
        <v>55.959874259999999</v>
      </c>
      <c r="AR52" s="1">
        <v>279.9336677</v>
      </c>
    </row>
    <row r="53" spans="1:44">
      <c r="A53" s="1">
        <v>2019</v>
      </c>
      <c r="B53" s="1" t="s">
        <v>44</v>
      </c>
      <c r="C53" s="1" t="s">
        <v>61</v>
      </c>
      <c r="D53" s="1">
        <v>1519</v>
      </c>
      <c r="E53" s="1">
        <v>15331.50013</v>
      </c>
      <c r="F53" s="1">
        <v>5431.9892369999998</v>
      </c>
      <c r="G53" s="1">
        <v>11675.8429</v>
      </c>
      <c r="H53" s="1">
        <v>417.99387009999998</v>
      </c>
      <c r="I53" s="1">
        <v>12.57547682</v>
      </c>
      <c r="J53" s="1">
        <v>1.1999851800000001</v>
      </c>
      <c r="K53" s="1">
        <v>404.21840809999998</v>
      </c>
      <c r="L53" s="1">
        <v>4.6639140000000001</v>
      </c>
      <c r="M53" s="1">
        <v>4.2988893399999997</v>
      </c>
      <c r="N53" s="1">
        <v>53.7934974</v>
      </c>
      <c r="O53" s="1">
        <v>1892.2341839999999</v>
      </c>
      <c r="P53" s="1">
        <v>34.399607779999997</v>
      </c>
      <c r="Q53" s="1">
        <v>25.228557330000001</v>
      </c>
      <c r="R53" s="1">
        <v>9.1710504499999992</v>
      </c>
      <c r="S53" s="1">
        <v>0</v>
      </c>
      <c r="T53" s="1">
        <v>3.9372699</v>
      </c>
      <c r="U53" s="1">
        <v>12920.178889999999</v>
      </c>
      <c r="V53" s="1">
        <v>3537.225097</v>
      </c>
      <c r="W53" s="1">
        <v>36.024996969999997</v>
      </c>
      <c r="X53" s="1">
        <v>3501.2001</v>
      </c>
      <c r="Y53" s="1">
        <v>0.23888651</v>
      </c>
      <c r="Z53" s="1">
        <v>3501.438987</v>
      </c>
      <c r="AA53" s="1">
        <v>2972.6243079999999</v>
      </c>
      <c r="AB53" s="1">
        <v>469.97152440000002</v>
      </c>
      <c r="AC53" s="1">
        <v>73.633217079999994</v>
      </c>
      <c r="AD53" s="1">
        <v>6754.3025749999997</v>
      </c>
      <c r="AE53" s="1">
        <v>2321.6293799999999</v>
      </c>
      <c r="AF53" s="1">
        <v>141150.60819999999</v>
      </c>
      <c r="AG53" s="1">
        <v>596.17279719999999</v>
      </c>
      <c r="AH53" s="1">
        <v>387.0332204</v>
      </c>
      <c r="AI53" s="1">
        <v>0</v>
      </c>
      <c r="AJ53" s="1">
        <v>25.97032119</v>
      </c>
      <c r="AK53" s="1">
        <v>71.520832769999998</v>
      </c>
      <c r="AL53" s="1">
        <v>67.654222610000005</v>
      </c>
      <c r="AM53" s="1">
        <v>25.25777033</v>
      </c>
      <c r="AN53" s="1">
        <v>9.1764504500000008</v>
      </c>
      <c r="AO53" s="1">
        <v>65.990860269999999</v>
      </c>
      <c r="AP53" s="1">
        <v>7.4303450199999999</v>
      </c>
      <c r="AQ53" s="1">
        <v>290.56039099999998</v>
      </c>
      <c r="AR53" s="1">
        <v>2570.2573419999999</v>
      </c>
    </row>
    <row r="54" spans="1:44">
      <c r="A54" s="1">
        <v>2019</v>
      </c>
      <c r="B54" s="1" t="s">
        <v>62</v>
      </c>
      <c r="C54" s="1" t="s">
        <v>45</v>
      </c>
      <c r="D54" s="1">
        <v>1179452</v>
      </c>
      <c r="E54" s="1">
        <v>3049.771718</v>
      </c>
      <c r="F54" s="1">
        <v>10426.43052</v>
      </c>
      <c r="G54" s="1">
        <v>68894.363389999999</v>
      </c>
      <c r="H54" s="1">
        <v>291.0205431</v>
      </c>
      <c r="I54" s="1">
        <v>276.87398250000001</v>
      </c>
      <c r="J54" s="1">
        <v>0.52507797</v>
      </c>
      <c r="K54" s="1">
        <v>13.62148262</v>
      </c>
      <c r="L54" s="1">
        <v>148.93471690000001</v>
      </c>
      <c r="M54" s="1">
        <v>87.634042320000006</v>
      </c>
      <c r="N54" s="1">
        <v>1381.5423069999999</v>
      </c>
      <c r="O54" s="1">
        <v>182.0690132</v>
      </c>
      <c r="P54" s="1">
        <v>10.507840290000001</v>
      </c>
      <c r="Q54" s="1">
        <v>7.50559713</v>
      </c>
      <c r="R54" s="1">
        <v>0.97466845000000002</v>
      </c>
      <c r="S54" s="1">
        <v>2.0275747100000001</v>
      </c>
      <c r="T54" s="1">
        <v>115.5632174</v>
      </c>
      <c r="U54" s="1">
        <v>832.50003819999995</v>
      </c>
      <c r="V54" s="1">
        <v>0.103348</v>
      </c>
      <c r="W54" s="1">
        <v>0</v>
      </c>
      <c r="X54" s="1">
        <v>0.103348</v>
      </c>
      <c r="Y54" s="1">
        <v>50.191445799999997</v>
      </c>
      <c r="Z54" s="1">
        <v>50.218391140000001</v>
      </c>
      <c r="AA54" s="1">
        <v>269.61314110000001</v>
      </c>
      <c r="AB54" s="1">
        <v>3.5628061199999999</v>
      </c>
      <c r="AC54" s="1">
        <v>223.40705310000001</v>
      </c>
      <c r="AD54" s="1">
        <v>30473.659299999999</v>
      </c>
      <c r="AE54" s="1">
        <v>13348.50088</v>
      </c>
      <c r="AF54" s="1">
        <v>493848.75599999999</v>
      </c>
      <c r="AG54" s="1">
        <v>4923.7292770000004</v>
      </c>
      <c r="AH54" s="1">
        <v>96.554999870000003</v>
      </c>
      <c r="AI54" s="1">
        <v>1.4640430600000001</v>
      </c>
      <c r="AJ54" s="1">
        <v>24.264714390000002</v>
      </c>
      <c r="AK54" s="1">
        <v>655.60862090000001</v>
      </c>
      <c r="AL54" s="1">
        <v>3798.2107590000001</v>
      </c>
      <c r="AM54" s="1">
        <v>22.091805180000001</v>
      </c>
      <c r="AN54" s="1">
        <v>2.0344220599999998</v>
      </c>
      <c r="AO54" s="1">
        <v>469.34432930000003</v>
      </c>
      <c r="AP54" s="1">
        <v>7.4158841799999999</v>
      </c>
      <c r="AQ54" s="1">
        <v>920.20629410000004</v>
      </c>
      <c r="AR54" s="1">
        <v>3082.2238430000002</v>
      </c>
    </row>
    <row r="55" spans="1:44">
      <c r="A55" s="1">
        <v>2019</v>
      </c>
      <c r="B55" s="1" t="s">
        <v>62</v>
      </c>
      <c r="C55" s="1" t="s">
        <v>46</v>
      </c>
      <c r="D55" s="1">
        <v>763920</v>
      </c>
      <c r="E55" s="1">
        <v>9945.2900929999996</v>
      </c>
      <c r="F55" s="1">
        <v>2869.6340009999999</v>
      </c>
      <c r="G55" s="1">
        <v>29955.429779999999</v>
      </c>
      <c r="H55" s="1">
        <v>255.41458800000001</v>
      </c>
      <c r="I55" s="1">
        <v>243.50071149999999</v>
      </c>
      <c r="J55" s="1">
        <v>0.24757116000000001</v>
      </c>
      <c r="K55" s="1">
        <v>11.666305319999999</v>
      </c>
      <c r="L55" s="1">
        <v>160.48414320000001</v>
      </c>
      <c r="M55" s="1">
        <v>85.214126660000005</v>
      </c>
      <c r="N55" s="1">
        <v>879.2504394</v>
      </c>
      <c r="O55" s="1">
        <v>111.0014583</v>
      </c>
      <c r="P55" s="1">
        <v>4.3261058400000003</v>
      </c>
      <c r="Q55" s="1">
        <v>3.5389267499999999</v>
      </c>
      <c r="R55" s="1">
        <v>0.28196512000000001</v>
      </c>
      <c r="S55" s="1">
        <v>0.50521397000000001</v>
      </c>
      <c r="T55" s="1">
        <v>1214.4034260000001</v>
      </c>
      <c r="U55" s="1">
        <v>7235.1958059999997</v>
      </c>
      <c r="V55" s="1">
        <v>0.17591681000000001</v>
      </c>
      <c r="W55" s="1">
        <v>6.1519999999999994E-5</v>
      </c>
      <c r="X55" s="1">
        <v>0.17585529</v>
      </c>
      <c r="Y55" s="1">
        <v>10.75356232</v>
      </c>
      <c r="Z55" s="1">
        <v>10.92922476</v>
      </c>
      <c r="AA55" s="1">
        <v>109.8615738</v>
      </c>
      <c r="AB55" s="1">
        <v>0.85447278999999998</v>
      </c>
      <c r="AC55" s="1">
        <v>100.2561037</v>
      </c>
      <c r="AD55" s="1">
        <v>9997.3792460000004</v>
      </c>
      <c r="AE55" s="1">
        <v>3549.5536670000001</v>
      </c>
      <c r="AF55" s="1">
        <v>145744.60380000001</v>
      </c>
      <c r="AG55" s="1">
        <v>1340.894102</v>
      </c>
      <c r="AH55" s="1">
        <v>38.888286880000003</v>
      </c>
      <c r="AI55" s="1">
        <v>1.25894526</v>
      </c>
      <c r="AJ55" s="1">
        <v>9.7834575299999997</v>
      </c>
      <c r="AK55" s="1">
        <v>341.10370810000001</v>
      </c>
      <c r="AL55" s="1">
        <v>1372.501092</v>
      </c>
      <c r="AM55" s="1">
        <v>4.6677155099999998</v>
      </c>
      <c r="AN55" s="1">
        <v>0.34101844999999997</v>
      </c>
      <c r="AO55" s="1">
        <v>143.62386649999999</v>
      </c>
      <c r="AP55" s="1">
        <v>2.52382229</v>
      </c>
      <c r="AQ55" s="1">
        <v>240.3209554</v>
      </c>
      <c r="AR55" s="1">
        <v>688.18522519999999</v>
      </c>
    </row>
    <row r="56" spans="1:44">
      <c r="A56" s="1">
        <v>2019</v>
      </c>
      <c r="B56" s="1" t="s">
        <v>62</v>
      </c>
      <c r="C56" s="1" t="s">
        <v>47</v>
      </c>
      <c r="D56" s="1">
        <v>2908007</v>
      </c>
      <c r="E56" s="1">
        <v>76876.022500000006</v>
      </c>
      <c r="F56" s="1">
        <v>9573.0956139999998</v>
      </c>
      <c r="G56" s="1">
        <v>50549.212650000001</v>
      </c>
      <c r="H56" s="1">
        <v>2001.236392</v>
      </c>
      <c r="I56" s="1">
        <v>1918.9018369999999</v>
      </c>
      <c r="J56" s="1">
        <v>2.0730249299999999</v>
      </c>
      <c r="K56" s="1">
        <v>80.261529830000001</v>
      </c>
      <c r="L56" s="1">
        <v>1624.6551039999999</v>
      </c>
      <c r="M56" s="1">
        <v>1012.727728</v>
      </c>
      <c r="N56" s="1">
        <v>4493.2573549999997</v>
      </c>
      <c r="O56" s="1">
        <v>563.14175750000004</v>
      </c>
      <c r="P56" s="1">
        <v>23.354444789999999</v>
      </c>
      <c r="Q56" s="1">
        <v>20.05360319</v>
      </c>
      <c r="R56" s="1">
        <v>2.05436621</v>
      </c>
      <c r="S56" s="1">
        <v>1.2464753900000001</v>
      </c>
      <c r="T56" s="1">
        <v>9533.7972050000008</v>
      </c>
      <c r="U56" s="1">
        <v>57623.852509999997</v>
      </c>
      <c r="V56" s="1">
        <v>15.804628790000001</v>
      </c>
      <c r="W56" s="1">
        <v>2.8917999999999999E-4</v>
      </c>
      <c r="X56" s="1">
        <v>15.80433961</v>
      </c>
      <c r="Y56" s="1">
        <v>23.734599200000002</v>
      </c>
      <c r="Z56" s="1">
        <v>39.490498780000003</v>
      </c>
      <c r="AA56" s="1">
        <v>821.26582180000003</v>
      </c>
      <c r="AB56" s="1">
        <v>6.30644822</v>
      </c>
      <c r="AC56" s="1">
        <v>791.94313250000005</v>
      </c>
      <c r="AD56" s="1">
        <v>26956.88798</v>
      </c>
      <c r="AE56" s="1">
        <v>6590.2482719999998</v>
      </c>
      <c r="AF56" s="1">
        <v>378910.44219999999</v>
      </c>
      <c r="AG56" s="1">
        <v>3414.5902190000002</v>
      </c>
      <c r="AH56" s="1">
        <v>138.61840839999999</v>
      </c>
      <c r="AI56" s="1">
        <v>2.5345833899999999</v>
      </c>
      <c r="AJ56" s="1">
        <v>37.102264030000001</v>
      </c>
      <c r="AK56" s="1">
        <v>2346.108835</v>
      </c>
      <c r="AL56" s="1">
        <v>6095.5921420000004</v>
      </c>
      <c r="AM56" s="1">
        <v>22.625651879999999</v>
      </c>
      <c r="AN56" s="1">
        <v>2.3742321099999999</v>
      </c>
      <c r="AO56" s="1">
        <v>376.6570332</v>
      </c>
      <c r="AP56" s="1">
        <v>6.04033102</v>
      </c>
      <c r="AQ56" s="1">
        <v>635.8151881</v>
      </c>
      <c r="AR56" s="1">
        <v>1792.139054</v>
      </c>
    </row>
    <row r="57" spans="1:44">
      <c r="A57" s="1">
        <v>2019</v>
      </c>
      <c r="B57" s="1" t="s">
        <v>62</v>
      </c>
      <c r="C57" s="1" t="s">
        <v>48</v>
      </c>
      <c r="D57" s="1">
        <v>2843102</v>
      </c>
      <c r="E57" s="1">
        <v>111403.83809999999</v>
      </c>
      <c r="F57" s="1">
        <v>12226.06596</v>
      </c>
      <c r="G57" s="1">
        <v>32610.409080000001</v>
      </c>
      <c r="H57" s="1">
        <v>3687.6495789999999</v>
      </c>
      <c r="I57" s="1">
        <v>3515.5759589999998</v>
      </c>
      <c r="J57" s="1">
        <v>2.6227973599999999</v>
      </c>
      <c r="K57" s="1">
        <v>169.4508223</v>
      </c>
      <c r="L57" s="1">
        <v>2337.8176060000001</v>
      </c>
      <c r="M57" s="1">
        <v>1641.096605</v>
      </c>
      <c r="N57" s="1">
        <v>5832.5516079999998</v>
      </c>
      <c r="O57" s="1">
        <v>637.69486089999998</v>
      </c>
      <c r="P57" s="1">
        <v>34.476140219999998</v>
      </c>
      <c r="Q57" s="1">
        <v>30.358102689999999</v>
      </c>
      <c r="R57" s="1">
        <v>3.3891109300000002</v>
      </c>
      <c r="S57" s="1">
        <v>0.72892659999999998</v>
      </c>
      <c r="T57" s="1">
        <v>13758.25124</v>
      </c>
      <c r="U57" s="1">
        <v>83474.300430000003</v>
      </c>
      <c r="V57" s="1">
        <v>1417.802048</v>
      </c>
      <c r="W57" s="1">
        <v>0.13626657</v>
      </c>
      <c r="X57" s="1">
        <v>1417.665782</v>
      </c>
      <c r="Y57" s="1">
        <v>24.88114169</v>
      </c>
      <c r="Z57" s="1">
        <v>1442.517683</v>
      </c>
      <c r="AA57" s="1">
        <v>2850.8260369999998</v>
      </c>
      <c r="AB57" s="1">
        <v>263.60411420000003</v>
      </c>
      <c r="AC57" s="1">
        <v>1688.2564970000001</v>
      </c>
      <c r="AD57" s="1">
        <v>44968.729299999999</v>
      </c>
      <c r="AE57" s="1">
        <v>3744.596513</v>
      </c>
      <c r="AF57" s="1">
        <v>287558.65539999999</v>
      </c>
      <c r="AG57" s="1">
        <v>2516.3538640000002</v>
      </c>
      <c r="AH57" s="1">
        <v>205.73272309999999</v>
      </c>
      <c r="AI57" s="1">
        <v>4.9265475900000002</v>
      </c>
      <c r="AJ57" s="1">
        <v>64.271350170000005</v>
      </c>
      <c r="AK57" s="1">
        <v>3555.5295540000002</v>
      </c>
      <c r="AL57" s="1">
        <v>7122.2667959999999</v>
      </c>
      <c r="AM57" s="1">
        <v>32.21437547</v>
      </c>
      <c r="AN57" s="1">
        <v>3.5107749099999999</v>
      </c>
      <c r="AO57" s="1">
        <v>361.23831480000001</v>
      </c>
      <c r="AP57" s="1">
        <v>4.8022057</v>
      </c>
      <c r="AQ57" s="1">
        <v>809.78135529999997</v>
      </c>
      <c r="AR57" s="1">
        <v>1056.7226430000001</v>
      </c>
    </row>
    <row r="58" spans="1:44">
      <c r="A58" s="1">
        <v>2019</v>
      </c>
      <c r="B58" s="1" t="s">
        <v>62</v>
      </c>
      <c r="C58" s="1" t="s">
        <v>49</v>
      </c>
      <c r="D58" s="1">
        <v>2751263</v>
      </c>
      <c r="E58" s="1">
        <v>166799.1808</v>
      </c>
      <c r="F58" s="1">
        <v>19233.74553</v>
      </c>
      <c r="G58" s="1">
        <v>44171.663569999997</v>
      </c>
      <c r="H58" s="1">
        <v>5586.8279549999997</v>
      </c>
      <c r="I58" s="1">
        <v>5186.4837150000003</v>
      </c>
      <c r="J58" s="1">
        <v>3.7376913900000002</v>
      </c>
      <c r="K58" s="1">
        <v>396.60654799999998</v>
      </c>
      <c r="L58" s="1">
        <v>2444.0342660000001</v>
      </c>
      <c r="M58" s="1">
        <v>2052.757607</v>
      </c>
      <c r="N58" s="1">
        <v>8027.6886930000001</v>
      </c>
      <c r="O58" s="1">
        <v>928.79596370000002</v>
      </c>
      <c r="P58" s="1">
        <v>64.263238459999997</v>
      </c>
      <c r="Q58" s="1">
        <v>56.379837469999998</v>
      </c>
      <c r="R58" s="1">
        <v>7.04525106</v>
      </c>
      <c r="S58" s="1">
        <v>0.83814993000000004</v>
      </c>
      <c r="T58" s="1">
        <v>20931.17756</v>
      </c>
      <c r="U58" s="1">
        <v>126763.6355</v>
      </c>
      <c r="V58" s="1">
        <v>8039.8812429999998</v>
      </c>
      <c r="W58" s="1">
        <v>1.4730893899999999</v>
      </c>
      <c r="X58" s="1">
        <v>8038.4081539999997</v>
      </c>
      <c r="Y58" s="1">
        <v>43.478227580000002</v>
      </c>
      <c r="Z58" s="1">
        <v>8081.7388060000003</v>
      </c>
      <c r="AA58" s="1">
        <v>10000.04616</v>
      </c>
      <c r="AB58" s="1">
        <v>1449.649629</v>
      </c>
      <c r="AC58" s="1">
        <v>3438.7500920000002</v>
      </c>
      <c r="AD58" s="1">
        <v>39168.760900000001</v>
      </c>
      <c r="AE58" s="1">
        <v>5731.9398849999998</v>
      </c>
      <c r="AF58" s="1">
        <v>493410.90720000002</v>
      </c>
      <c r="AG58" s="1">
        <v>3951.1051710000002</v>
      </c>
      <c r="AH58" s="1">
        <v>472.68925130000002</v>
      </c>
      <c r="AI58" s="1">
        <v>14.198355230000001</v>
      </c>
      <c r="AJ58" s="1">
        <v>134.5713591</v>
      </c>
      <c r="AK58" s="1">
        <v>5187.8600299999998</v>
      </c>
      <c r="AL58" s="1">
        <v>10796.31378</v>
      </c>
      <c r="AM58" s="1">
        <v>60.349120390000003</v>
      </c>
      <c r="AN58" s="1">
        <v>7.3001226199999998</v>
      </c>
      <c r="AO58" s="1">
        <v>529.50037450000002</v>
      </c>
      <c r="AP58" s="1">
        <v>5.8547215699999997</v>
      </c>
      <c r="AQ58" s="1">
        <v>1262.0658020000001</v>
      </c>
      <c r="AR58" s="1">
        <v>1667.075951</v>
      </c>
    </row>
    <row r="59" spans="1:44">
      <c r="A59" s="1">
        <v>2019</v>
      </c>
      <c r="B59" s="1" t="s">
        <v>62</v>
      </c>
      <c r="C59" s="1" t="s">
        <v>50</v>
      </c>
      <c r="D59" s="1">
        <v>1070986</v>
      </c>
      <c r="E59" s="1">
        <v>97097.51152</v>
      </c>
      <c r="F59" s="1">
        <v>12119.37752</v>
      </c>
      <c r="G59" s="1">
        <v>23971.769649999998</v>
      </c>
      <c r="H59" s="1">
        <v>3472.732019</v>
      </c>
      <c r="I59" s="1">
        <v>3077.2486600000002</v>
      </c>
      <c r="J59" s="1">
        <v>2.1344223000000002</v>
      </c>
      <c r="K59" s="1">
        <v>393.34893720000002</v>
      </c>
      <c r="L59" s="1">
        <v>1061.5910040000001</v>
      </c>
      <c r="M59" s="1">
        <v>1017.920851</v>
      </c>
      <c r="N59" s="1">
        <v>4817.644601</v>
      </c>
      <c r="O59" s="1">
        <v>575.93936840000003</v>
      </c>
      <c r="P59" s="1">
        <v>49.58876472</v>
      </c>
      <c r="Q59" s="1">
        <v>43.586950430000002</v>
      </c>
      <c r="R59" s="1">
        <v>5.6680885999999999</v>
      </c>
      <c r="S59" s="1">
        <v>0.33372569000000002</v>
      </c>
      <c r="T59" s="1">
        <v>11009.6654</v>
      </c>
      <c r="U59" s="1">
        <v>75092.429510000002</v>
      </c>
      <c r="V59" s="1">
        <v>9479.7093679999998</v>
      </c>
      <c r="W59" s="1">
        <v>2.6332983300000001</v>
      </c>
      <c r="X59" s="1">
        <v>9477.0760699999992</v>
      </c>
      <c r="Y59" s="1">
        <v>37.937905630000003</v>
      </c>
      <c r="Z59" s="1">
        <v>9514.8292820000006</v>
      </c>
      <c r="AA59" s="1">
        <v>9650.7725109999992</v>
      </c>
      <c r="AB59" s="1">
        <v>1631.855264</v>
      </c>
      <c r="AC59" s="1">
        <v>1836.0317</v>
      </c>
      <c r="AD59" s="1">
        <v>23124.128120000001</v>
      </c>
      <c r="AE59" s="1">
        <v>3162.319375</v>
      </c>
      <c r="AF59" s="1">
        <v>249209.84520000001</v>
      </c>
      <c r="AG59" s="1">
        <v>2548.741297</v>
      </c>
      <c r="AH59" s="1">
        <v>442.52780739999997</v>
      </c>
      <c r="AI59" s="1">
        <v>17.881793389999999</v>
      </c>
      <c r="AJ59" s="1">
        <v>118.29156140000001</v>
      </c>
      <c r="AK59" s="1">
        <v>2994.7393099999999</v>
      </c>
      <c r="AL59" s="1">
        <v>6585.5335329999998</v>
      </c>
      <c r="AM59" s="1">
        <v>46.290354479999998</v>
      </c>
      <c r="AN59" s="1">
        <v>5.7764133299999996</v>
      </c>
      <c r="AO59" s="1">
        <v>346.65765570000002</v>
      </c>
      <c r="AP59" s="1">
        <v>3.97152444</v>
      </c>
      <c r="AQ59" s="1">
        <v>765.97315300000002</v>
      </c>
      <c r="AR59" s="1">
        <v>1590.4353000000001</v>
      </c>
    </row>
    <row r="60" spans="1:44">
      <c r="A60" s="1">
        <v>2019</v>
      </c>
      <c r="B60" s="1" t="s">
        <v>62</v>
      </c>
      <c r="C60" s="1" t="s">
        <v>51</v>
      </c>
      <c r="D60" s="1">
        <v>747603</v>
      </c>
      <c r="E60" s="1">
        <v>92143.148730000001</v>
      </c>
      <c r="F60" s="1">
        <v>11441.28141</v>
      </c>
      <c r="G60" s="1">
        <v>21644.978179999998</v>
      </c>
      <c r="H60" s="1">
        <v>4374.2897720000001</v>
      </c>
      <c r="I60" s="1">
        <v>3735.5931340000002</v>
      </c>
      <c r="J60" s="1">
        <v>2.6600087600000002</v>
      </c>
      <c r="K60" s="1">
        <v>636.03662959999997</v>
      </c>
      <c r="L60" s="1">
        <v>842.28239269999995</v>
      </c>
      <c r="M60" s="1">
        <v>827.60798399999999</v>
      </c>
      <c r="N60" s="1">
        <v>5094.8675190000004</v>
      </c>
      <c r="O60" s="1">
        <v>553.09560439999996</v>
      </c>
      <c r="P60" s="1">
        <v>52.328887600000002</v>
      </c>
      <c r="Q60" s="1">
        <v>46.697215730000003</v>
      </c>
      <c r="R60" s="1">
        <v>5.3815983300000001</v>
      </c>
      <c r="S60" s="1">
        <v>0.25007353999999998</v>
      </c>
      <c r="T60" s="1">
        <v>5989.2911999999997</v>
      </c>
      <c r="U60" s="1">
        <v>74409.385370000004</v>
      </c>
      <c r="V60" s="1">
        <v>12665.00416</v>
      </c>
      <c r="W60" s="1">
        <v>5.7504544199999996</v>
      </c>
      <c r="X60" s="1">
        <v>12659.253710000001</v>
      </c>
      <c r="Y60" s="1">
        <v>53.449713350000003</v>
      </c>
      <c r="Z60" s="1">
        <v>12712.511210000001</v>
      </c>
      <c r="AA60" s="1">
        <v>12060.79855</v>
      </c>
      <c r="AB60" s="1">
        <v>1852.530984</v>
      </c>
      <c r="AC60" s="1">
        <v>1275.1592949999999</v>
      </c>
      <c r="AD60" s="1">
        <v>21103.420470000001</v>
      </c>
      <c r="AE60" s="1">
        <v>3756.593249</v>
      </c>
      <c r="AF60" s="1">
        <v>234118.96249999999</v>
      </c>
      <c r="AG60" s="1">
        <v>2740.4512060000002</v>
      </c>
      <c r="AH60" s="1">
        <v>613.83228440000005</v>
      </c>
      <c r="AI60" s="1">
        <v>48.821411329999997</v>
      </c>
      <c r="AJ60" s="1">
        <v>166.4048976</v>
      </c>
      <c r="AK60" s="1">
        <v>2673.8049500000002</v>
      </c>
      <c r="AL60" s="1">
        <v>6156.6130039999998</v>
      </c>
      <c r="AM60" s="1">
        <v>47.839112059999998</v>
      </c>
      <c r="AN60" s="1">
        <v>5.44290392</v>
      </c>
      <c r="AO60" s="1">
        <v>353.79295810000002</v>
      </c>
      <c r="AP60" s="1">
        <v>2.9323718200000002</v>
      </c>
      <c r="AQ60" s="1">
        <v>765.67229069999996</v>
      </c>
      <c r="AR60" s="1">
        <v>1144.750585</v>
      </c>
    </row>
    <row r="61" spans="1:44">
      <c r="A61" s="1">
        <v>2019</v>
      </c>
      <c r="B61" s="1" t="s">
        <v>62</v>
      </c>
      <c r="C61" s="1" t="s">
        <v>52</v>
      </c>
      <c r="D61" s="1">
        <v>514987</v>
      </c>
      <c r="E61" s="1">
        <v>89236.075800000006</v>
      </c>
      <c r="F61" s="1">
        <v>12422.520329999999</v>
      </c>
      <c r="G61" s="1">
        <v>21496.044389999999</v>
      </c>
      <c r="H61" s="1">
        <v>5282.7584550000001</v>
      </c>
      <c r="I61" s="1">
        <v>4324.1039380000002</v>
      </c>
      <c r="J61" s="1">
        <v>3.40551972</v>
      </c>
      <c r="K61" s="1">
        <v>955.24899649999998</v>
      </c>
      <c r="L61" s="1">
        <v>600.42318799999998</v>
      </c>
      <c r="M61" s="1">
        <v>601.22372180000002</v>
      </c>
      <c r="N61" s="1">
        <v>4908.7078750000001</v>
      </c>
      <c r="O61" s="1">
        <v>611.91972959999998</v>
      </c>
      <c r="P61" s="1">
        <v>51.383715449999997</v>
      </c>
      <c r="Q61" s="1">
        <v>45.915317440000003</v>
      </c>
      <c r="R61" s="1">
        <v>5.14782589</v>
      </c>
      <c r="S61" s="1">
        <v>0.32057212000000002</v>
      </c>
      <c r="T61" s="1">
        <v>2792.5631279999998</v>
      </c>
      <c r="U61" s="1">
        <v>74387.095990000002</v>
      </c>
      <c r="V61" s="1">
        <v>15085.35471</v>
      </c>
      <c r="W61" s="1">
        <v>11.11275451</v>
      </c>
      <c r="X61" s="1">
        <v>15074.241959999999</v>
      </c>
      <c r="Y61" s="1">
        <v>61.672329740000002</v>
      </c>
      <c r="Z61" s="1">
        <v>15135.719859999999</v>
      </c>
      <c r="AA61" s="1">
        <v>14298.53471</v>
      </c>
      <c r="AB61" s="1">
        <v>1739.6755969999999</v>
      </c>
      <c r="AC61" s="1">
        <v>984.02761099999998</v>
      </c>
      <c r="AD61" s="1">
        <v>20210.102180000002</v>
      </c>
      <c r="AE61" s="1">
        <v>3588.0122099999999</v>
      </c>
      <c r="AF61" s="1">
        <v>257844.1666</v>
      </c>
      <c r="AG61" s="1">
        <v>3375.9106099999999</v>
      </c>
      <c r="AH61" s="1">
        <v>841.75203380000005</v>
      </c>
      <c r="AI61" s="1">
        <v>73.547402469999994</v>
      </c>
      <c r="AJ61" s="1">
        <v>208.58335790000001</v>
      </c>
      <c r="AK61" s="1">
        <v>2304.9356459999999</v>
      </c>
      <c r="AL61" s="1">
        <v>5500.3649560000003</v>
      </c>
      <c r="AM61" s="1">
        <v>46.532382460000001</v>
      </c>
      <c r="AN61" s="1">
        <v>5.1627241499999998</v>
      </c>
      <c r="AO61" s="1">
        <v>361.61135309999997</v>
      </c>
      <c r="AP61" s="1">
        <v>4.6155116700000001</v>
      </c>
      <c r="AQ61" s="1">
        <v>782.82901609999999</v>
      </c>
      <c r="AR61" s="1">
        <v>1341.778971</v>
      </c>
    </row>
    <row r="62" spans="1:44">
      <c r="A62" s="1">
        <v>2019</v>
      </c>
      <c r="B62" s="1" t="s">
        <v>62</v>
      </c>
      <c r="C62" s="1" t="s">
        <v>53</v>
      </c>
      <c r="D62" s="1">
        <v>210559</v>
      </c>
      <c r="E62" s="1">
        <v>51179.801659999997</v>
      </c>
      <c r="F62" s="1">
        <v>6971.4412300000004</v>
      </c>
      <c r="G62" s="1">
        <v>11530.35773</v>
      </c>
      <c r="H62" s="1">
        <v>3567.1367300000002</v>
      </c>
      <c r="I62" s="1">
        <v>2879.5982530000001</v>
      </c>
      <c r="J62" s="1">
        <v>1.94858194</v>
      </c>
      <c r="K62" s="1">
        <v>685.58989540000005</v>
      </c>
      <c r="L62" s="1">
        <v>249.489823</v>
      </c>
      <c r="M62" s="1">
        <v>253.99514070000001</v>
      </c>
      <c r="N62" s="1">
        <v>2691.6551570000001</v>
      </c>
      <c r="O62" s="1">
        <v>430.904653</v>
      </c>
      <c r="P62" s="1">
        <v>28.7009604</v>
      </c>
      <c r="Q62" s="1">
        <v>25.774689559999999</v>
      </c>
      <c r="R62" s="1">
        <v>2.83009048</v>
      </c>
      <c r="S62" s="1">
        <v>9.6180360000000006E-2</v>
      </c>
      <c r="T62" s="1">
        <v>653.58680340000001</v>
      </c>
      <c r="U62" s="1">
        <v>43304.332399999999</v>
      </c>
      <c r="V62" s="1">
        <v>9712.5888720000003</v>
      </c>
      <c r="W62" s="1">
        <v>10.2079755</v>
      </c>
      <c r="X62" s="1">
        <v>9702.3808960000006</v>
      </c>
      <c r="Y62" s="1">
        <v>41.272267569999997</v>
      </c>
      <c r="Z62" s="1">
        <v>9743.6200449999997</v>
      </c>
      <c r="AA62" s="1">
        <v>9291.8540159999993</v>
      </c>
      <c r="AB62" s="1">
        <v>895.80046379999999</v>
      </c>
      <c r="AC62" s="1">
        <v>489.34184699999997</v>
      </c>
      <c r="AD62" s="1">
        <v>10600.65288</v>
      </c>
      <c r="AE62" s="1">
        <v>2269.3892900000001</v>
      </c>
      <c r="AF62" s="1">
        <v>154954.12340000001</v>
      </c>
      <c r="AG62" s="1">
        <v>2324.5613189999999</v>
      </c>
      <c r="AH62" s="1">
        <v>591.42088139999998</v>
      </c>
      <c r="AI62" s="1">
        <v>45.310869080000003</v>
      </c>
      <c r="AJ62" s="1">
        <v>130.5779828</v>
      </c>
      <c r="AK62" s="1">
        <v>1174.484813</v>
      </c>
      <c r="AL62" s="1">
        <v>2895.0997309999998</v>
      </c>
      <c r="AM62" s="1">
        <v>26.02156651</v>
      </c>
      <c r="AN62" s="1">
        <v>2.8479069099999998</v>
      </c>
      <c r="AO62" s="1">
        <v>210.42525570000001</v>
      </c>
      <c r="AP62" s="1">
        <v>0.92554179999999997</v>
      </c>
      <c r="AQ62" s="1">
        <v>481.99939649999999</v>
      </c>
      <c r="AR62" s="1">
        <v>904.01940300000001</v>
      </c>
    </row>
    <row r="63" spans="1:44">
      <c r="A63" s="1">
        <v>2019</v>
      </c>
      <c r="B63" s="1" t="s">
        <v>62</v>
      </c>
      <c r="C63" s="1" t="s">
        <v>54</v>
      </c>
      <c r="D63" s="1">
        <v>160062</v>
      </c>
      <c r="E63" s="1">
        <v>54275.386729999998</v>
      </c>
      <c r="F63" s="1">
        <v>7662.1202210000001</v>
      </c>
      <c r="G63" s="1">
        <v>12400.71335</v>
      </c>
      <c r="H63" s="1">
        <v>4088.373008</v>
      </c>
      <c r="I63" s="1">
        <v>3314.8821579999999</v>
      </c>
      <c r="J63" s="1">
        <v>2.5818945800000002</v>
      </c>
      <c r="K63" s="1">
        <v>770.90895550000005</v>
      </c>
      <c r="L63" s="1">
        <v>190.62667809999999</v>
      </c>
      <c r="M63" s="1">
        <v>201.1173508</v>
      </c>
      <c r="N63" s="1">
        <v>2659.7625849999999</v>
      </c>
      <c r="O63" s="1">
        <v>589.50668110000004</v>
      </c>
      <c r="P63" s="1">
        <v>38.994652639999998</v>
      </c>
      <c r="Q63" s="1">
        <v>36.108960199999999</v>
      </c>
      <c r="R63" s="1">
        <v>2.7943439900000002</v>
      </c>
      <c r="S63" s="1">
        <v>9.1348449999999998E-2</v>
      </c>
      <c r="T63" s="1">
        <v>335.53916720000001</v>
      </c>
      <c r="U63" s="1">
        <v>46171.466610000003</v>
      </c>
      <c r="V63" s="1">
        <v>11027.84663</v>
      </c>
      <c r="W63" s="1">
        <v>15.09595595</v>
      </c>
      <c r="X63" s="1">
        <v>11012.750679999999</v>
      </c>
      <c r="Y63" s="1">
        <v>60.467353320000001</v>
      </c>
      <c r="Z63" s="1">
        <v>11073.20321</v>
      </c>
      <c r="AA63" s="1">
        <v>10617.071809999999</v>
      </c>
      <c r="AB63" s="1">
        <v>881.03702229999999</v>
      </c>
      <c r="AC63" s="1">
        <v>478.88832619999999</v>
      </c>
      <c r="AD63" s="1">
        <v>11130.37955</v>
      </c>
      <c r="AE63" s="1">
        <v>2188.2469059999999</v>
      </c>
      <c r="AF63" s="1">
        <v>177733.9877</v>
      </c>
      <c r="AG63" s="1">
        <v>2766.4715580000002</v>
      </c>
      <c r="AH63" s="1">
        <v>659.96448180000004</v>
      </c>
      <c r="AI63" s="1">
        <v>71.67015275</v>
      </c>
      <c r="AJ63" s="1">
        <v>128.17746489999999</v>
      </c>
      <c r="AK63" s="1">
        <v>1120.0524089999999</v>
      </c>
      <c r="AL63" s="1">
        <v>2831.9434849999998</v>
      </c>
      <c r="AM63" s="1">
        <v>36.367948740000003</v>
      </c>
      <c r="AN63" s="1">
        <v>2.7943439900000002</v>
      </c>
      <c r="AO63" s="1">
        <v>234.30996379999999</v>
      </c>
      <c r="AP63" s="1">
        <v>1.4551331199999999</v>
      </c>
      <c r="AQ63" s="1">
        <v>541.61265270000001</v>
      </c>
      <c r="AR63" s="1">
        <v>1199.5302019999999</v>
      </c>
    </row>
    <row r="64" spans="1:44">
      <c r="A64" s="1">
        <v>2019</v>
      </c>
      <c r="B64" s="1" t="s">
        <v>62</v>
      </c>
      <c r="C64" s="1" t="s">
        <v>55</v>
      </c>
      <c r="D64" s="1">
        <v>44014</v>
      </c>
      <c r="E64" s="1">
        <v>20439.018329999999</v>
      </c>
      <c r="F64" s="1">
        <v>3135.6398760000002</v>
      </c>
      <c r="G64" s="1">
        <v>5817.1378480000003</v>
      </c>
      <c r="H64" s="1">
        <v>1489.471456</v>
      </c>
      <c r="I64" s="1">
        <v>1184.0676490000001</v>
      </c>
      <c r="J64" s="1">
        <v>1.0122159900000001</v>
      </c>
      <c r="K64" s="1">
        <v>304.39159130000002</v>
      </c>
      <c r="L64" s="1">
        <v>56.406058440000002</v>
      </c>
      <c r="M64" s="1">
        <v>62.479345250000001</v>
      </c>
      <c r="N64" s="1">
        <v>797.63229179999996</v>
      </c>
      <c r="O64" s="1">
        <v>344.0770225</v>
      </c>
      <c r="P64" s="1">
        <v>11.36285309</v>
      </c>
      <c r="Q64" s="1">
        <v>10.48093972</v>
      </c>
      <c r="R64" s="1">
        <v>0.86178301000000002</v>
      </c>
      <c r="S64" s="1">
        <v>2.013036E-2</v>
      </c>
      <c r="T64" s="1">
        <v>72.764098619999999</v>
      </c>
      <c r="U64" s="1">
        <v>17604.825199999999</v>
      </c>
      <c r="V64" s="1">
        <v>4382.3594050000002</v>
      </c>
      <c r="W64" s="1">
        <v>7.8557525300000002</v>
      </c>
      <c r="X64" s="1">
        <v>4374.5036520000003</v>
      </c>
      <c r="Y64" s="1">
        <v>23.686184529999998</v>
      </c>
      <c r="Z64" s="1">
        <v>4398.1898369999999</v>
      </c>
      <c r="AA64" s="1">
        <v>4110.4003890000004</v>
      </c>
      <c r="AB64" s="1">
        <v>375.42498949999998</v>
      </c>
      <c r="AC64" s="1">
        <v>117.8675824</v>
      </c>
      <c r="AD64" s="1">
        <v>5433.4969700000001</v>
      </c>
      <c r="AE64" s="1">
        <v>1069.09689</v>
      </c>
      <c r="AF64" s="1">
        <v>82663.490229999996</v>
      </c>
      <c r="AG64" s="1">
        <v>1220.19732</v>
      </c>
      <c r="AH64" s="1">
        <v>256.93971479999999</v>
      </c>
      <c r="AI64" s="1">
        <v>35.570657150000002</v>
      </c>
      <c r="AJ64" s="1">
        <v>51.697453619999997</v>
      </c>
      <c r="AK64" s="1">
        <v>397.82812519999999</v>
      </c>
      <c r="AL64" s="1">
        <v>865.29479370000001</v>
      </c>
      <c r="AM64" s="1">
        <v>10.541761470000001</v>
      </c>
      <c r="AN64" s="1">
        <v>0.86778301000000002</v>
      </c>
      <c r="AO64" s="1">
        <v>82.40161956</v>
      </c>
      <c r="AP64" s="1">
        <v>1.52128727</v>
      </c>
      <c r="AQ64" s="1">
        <v>196.99693329999999</v>
      </c>
      <c r="AR64" s="1">
        <v>443.50570690000001</v>
      </c>
    </row>
    <row r="65" spans="1:44">
      <c r="A65" s="1">
        <v>2019</v>
      </c>
      <c r="B65" s="1" t="s">
        <v>62</v>
      </c>
      <c r="C65" s="1" t="s">
        <v>56</v>
      </c>
      <c r="D65" s="1">
        <v>17077</v>
      </c>
      <c r="E65" s="1">
        <v>10770.48991</v>
      </c>
      <c r="F65" s="1">
        <v>2167.6181710000001</v>
      </c>
      <c r="G65" s="1">
        <v>3917.888903</v>
      </c>
      <c r="H65" s="1">
        <v>547.67963580000003</v>
      </c>
      <c r="I65" s="1">
        <v>348.5536788</v>
      </c>
      <c r="J65" s="1">
        <v>1.96733107</v>
      </c>
      <c r="K65" s="1">
        <v>197.1586259</v>
      </c>
      <c r="L65" s="1">
        <v>20.248211999999999</v>
      </c>
      <c r="M65" s="1">
        <v>22.618734109999998</v>
      </c>
      <c r="N65" s="1">
        <v>316.31703110000001</v>
      </c>
      <c r="O65" s="1">
        <v>351.0345226</v>
      </c>
      <c r="P65" s="1">
        <v>4.4016374699999998</v>
      </c>
      <c r="Q65" s="1">
        <v>3.9402542199999999</v>
      </c>
      <c r="R65" s="1">
        <v>0.45875824999999998</v>
      </c>
      <c r="S65" s="1">
        <v>2.6250000000000002E-3</v>
      </c>
      <c r="T65" s="1">
        <v>46.526802179999997</v>
      </c>
      <c r="U65" s="1">
        <v>9461.663337</v>
      </c>
      <c r="V65" s="1">
        <v>2424.0132530000001</v>
      </c>
      <c r="W65" s="1">
        <v>4.9965143899999998</v>
      </c>
      <c r="X65" s="1">
        <v>2419.0167379999998</v>
      </c>
      <c r="Y65" s="1">
        <v>9.9442114999999998</v>
      </c>
      <c r="Z65" s="1">
        <v>2428.9609500000001</v>
      </c>
      <c r="AA65" s="1">
        <v>2122.6764579999999</v>
      </c>
      <c r="AB65" s="1">
        <v>318.6258598</v>
      </c>
      <c r="AC65" s="1">
        <v>43.300905610000001</v>
      </c>
      <c r="AD65" s="1">
        <v>2830.6537779999999</v>
      </c>
      <c r="AE65" s="1">
        <v>645.73159020000003</v>
      </c>
      <c r="AF65" s="1">
        <v>55028.573530000001</v>
      </c>
      <c r="AG65" s="1">
        <v>892.73997469999995</v>
      </c>
      <c r="AH65" s="1">
        <v>171.63475439999999</v>
      </c>
      <c r="AI65" s="1">
        <v>1.4574902999999999</v>
      </c>
      <c r="AJ65" s="1">
        <v>37.456594269999997</v>
      </c>
      <c r="AK65" s="1">
        <v>185.1853802</v>
      </c>
      <c r="AL65" s="1">
        <v>353.12528609999998</v>
      </c>
      <c r="AM65" s="1">
        <v>3.9465182300000001</v>
      </c>
      <c r="AN65" s="1">
        <v>0.45875824999999998</v>
      </c>
      <c r="AO65" s="1">
        <v>68.333046049999993</v>
      </c>
      <c r="AP65" s="1">
        <v>2.28194316</v>
      </c>
      <c r="AQ65" s="1">
        <v>116.8975837</v>
      </c>
      <c r="AR65" s="1">
        <v>656.58241369999996</v>
      </c>
    </row>
    <row r="66" spans="1:44">
      <c r="A66" s="1">
        <v>2019</v>
      </c>
      <c r="B66" s="1" t="s">
        <v>62</v>
      </c>
      <c r="C66" s="1" t="s">
        <v>57</v>
      </c>
      <c r="D66" s="1">
        <v>3391</v>
      </c>
      <c r="E66" s="1">
        <v>3201.08727</v>
      </c>
      <c r="F66" s="1">
        <v>756.29338570000004</v>
      </c>
      <c r="G66" s="1">
        <v>1803.0537629999999</v>
      </c>
      <c r="H66" s="1">
        <v>107.1773666</v>
      </c>
      <c r="I66" s="1">
        <v>46.313749250000001</v>
      </c>
      <c r="J66" s="1">
        <v>0.62451762</v>
      </c>
      <c r="K66" s="1">
        <v>60.239099750000001</v>
      </c>
      <c r="L66" s="1">
        <v>3.9904903200000001</v>
      </c>
      <c r="M66" s="1">
        <v>4.4848532199999998</v>
      </c>
      <c r="N66" s="1">
        <v>67.332174600000002</v>
      </c>
      <c r="O66" s="1">
        <v>237.4362591</v>
      </c>
      <c r="P66" s="1">
        <v>0.69592547999999999</v>
      </c>
      <c r="Q66" s="1">
        <v>0.64435706999999998</v>
      </c>
      <c r="R66" s="1">
        <v>1.7964000000000001E-2</v>
      </c>
      <c r="S66" s="1">
        <v>3.3604410000000001E-2</v>
      </c>
      <c r="T66" s="1">
        <v>12.833824440000001</v>
      </c>
      <c r="U66" s="1">
        <v>2767.1363769999998</v>
      </c>
      <c r="V66" s="1">
        <v>725.64125979999994</v>
      </c>
      <c r="W66" s="1">
        <v>1.6718428400000001</v>
      </c>
      <c r="X66" s="1">
        <v>723.96941690000006</v>
      </c>
      <c r="Y66" s="1">
        <v>1.01568284</v>
      </c>
      <c r="Z66" s="1">
        <v>724.98509979999994</v>
      </c>
      <c r="AA66" s="1">
        <v>601.9454763</v>
      </c>
      <c r="AB66" s="1">
        <v>117.54882689999999</v>
      </c>
      <c r="AC66" s="1">
        <v>11.872404080000001</v>
      </c>
      <c r="AD66" s="1">
        <v>652.47580570000002</v>
      </c>
      <c r="AE66" s="1">
        <v>235.07993959999999</v>
      </c>
      <c r="AF66" s="1">
        <v>21452.822810000001</v>
      </c>
      <c r="AG66" s="1">
        <v>381.14017260000003</v>
      </c>
      <c r="AH66" s="1">
        <v>53.994099329999997</v>
      </c>
      <c r="AI66" s="1">
        <v>2.644554E-2</v>
      </c>
      <c r="AJ66" s="1">
        <v>10.23408878</v>
      </c>
      <c r="AK66" s="1">
        <v>45.83052927</v>
      </c>
      <c r="AL66" s="1">
        <v>77.233677569999998</v>
      </c>
      <c r="AM66" s="1">
        <v>0.64435706999999998</v>
      </c>
      <c r="AN66" s="1">
        <v>1.7964000000000001E-2</v>
      </c>
      <c r="AO66" s="1">
        <v>27.64227649</v>
      </c>
      <c r="AP66" s="1">
        <v>0.45460012</v>
      </c>
      <c r="AQ66" s="1">
        <v>28.138124810000001</v>
      </c>
      <c r="AR66" s="1">
        <v>198.5027297</v>
      </c>
    </row>
    <row r="67" spans="1:44">
      <c r="A67" s="1">
        <v>2019</v>
      </c>
      <c r="B67" s="1" t="s">
        <v>62</v>
      </c>
      <c r="C67" s="1" t="s">
        <v>58</v>
      </c>
      <c r="D67" s="1">
        <v>2678</v>
      </c>
      <c r="E67" s="1">
        <v>4048.5009770000001</v>
      </c>
      <c r="F67" s="1">
        <v>1287.334803</v>
      </c>
      <c r="G67" s="1">
        <v>3338.0610620000002</v>
      </c>
      <c r="H67" s="1">
        <v>88.399016810000006</v>
      </c>
      <c r="I67" s="1">
        <v>20.718485510000001</v>
      </c>
      <c r="J67" s="1">
        <v>0.37559018</v>
      </c>
      <c r="K67" s="1">
        <v>67.304941119999995</v>
      </c>
      <c r="L67" s="1">
        <v>3.2237883599999999</v>
      </c>
      <c r="M67" s="1">
        <v>3.7934838200000001</v>
      </c>
      <c r="N67" s="1">
        <v>57.333966459999999</v>
      </c>
      <c r="O67" s="1">
        <v>473.40247160000001</v>
      </c>
      <c r="P67" s="1">
        <v>0.30397213000000001</v>
      </c>
      <c r="Q67" s="1">
        <v>0.24943485000000001</v>
      </c>
      <c r="R67" s="1">
        <v>5.453728E-2</v>
      </c>
      <c r="S67" s="1">
        <v>0</v>
      </c>
      <c r="T67" s="1">
        <v>11.493477240000001</v>
      </c>
      <c r="U67" s="1">
        <v>3410.5508009999999</v>
      </c>
      <c r="V67" s="1">
        <v>910.03499169999998</v>
      </c>
      <c r="W67" s="1">
        <v>2.7563624400000002</v>
      </c>
      <c r="X67" s="1">
        <v>907.27862930000003</v>
      </c>
      <c r="Y67" s="1">
        <v>0.93860639000000001</v>
      </c>
      <c r="Z67" s="1">
        <v>908.21723569999995</v>
      </c>
      <c r="AA67" s="1">
        <v>717.7672847</v>
      </c>
      <c r="AB67" s="1">
        <v>179.00793780000001</v>
      </c>
      <c r="AC67" s="1">
        <v>16.225527199999998</v>
      </c>
      <c r="AD67" s="1">
        <v>1075.672705</v>
      </c>
      <c r="AE67" s="1">
        <v>1161.1506019999999</v>
      </c>
      <c r="AF67" s="1">
        <v>30456.090400000001</v>
      </c>
      <c r="AG67" s="1">
        <v>463.48135380000002</v>
      </c>
      <c r="AH67" s="1">
        <v>60.606525810000001</v>
      </c>
      <c r="AI67" s="1">
        <v>0</v>
      </c>
      <c r="AJ67" s="1">
        <v>11.39124573</v>
      </c>
      <c r="AK67" s="1">
        <v>42.53042619</v>
      </c>
      <c r="AL67" s="1">
        <v>67.512355880000001</v>
      </c>
      <c r="AM67" s="1">
        <v>0.26273352999999999</v>
      </c>
      <c r="AN67" s="1">
        <v>5.453728E-2</v>
      </c>
      <c r="AO67" s="1">
        <v>29.635606030000002</v>
      </c>
      <c r="AP67" s="1">
        <v>0.4453569</v>
      </c>
      <c r="AQ67" s="1">
        <v>64.636521799999997</v>
      </c>
      <c r="AR67" s="1">
        <v>326.60221300000001</v>
      </c>
    </row>
    <row r="68" spans="1:44">
      <c r="A68" s="1">
        <v>2019</v>
      </c>
      <c r="B68" s="1" t="s">
        <v>62</v>
      </c>
      <c r="C68" s="1" t="s">
        <v>59</v>
      </c>
      <c r="D68" s="1">
        <v>436</v>
      </c>
      <c r="E68" s="1">
        <v>1189.8529510000001</v>
      </c>
      <c r="F68" s="1">
        <v>423.43141880000002</v>
      </c>
      <c r="G68" s="1">
        <v>1274.405262</v>
      </c>
      <c r="H68" s="1">
        <v>20.155228780000002</v>
      </c>
      <c r="I68" s="1">
        <v>2.6368665600000001</v>
      </c>
      <c r="J68" s="1">
        <v>9.4503760000000006E-2</v>
      </c>
      <c r="K68" s="1">
        <v>17.423858460000002</v>
      </c>
      <c r="L68" s="1">
        <v>0.59379588000000005</v>
      </c>
      <c r="M68" s="1">
        <v>0.70068585999999999</v>
      </c>
      <c r="N68" s="1">
        <v>12.053839999999999</v>
      </c>
      <c r="O68" s="1">
        <v>159.7174455</v>
      </c>
      <c r="P68" s="1">
        <v>0</v>
      </c>
      <c r="Q68" s="1">
        <v>0</v>
      </c>
      <c r="R68" s="1">
        <v>0</v>
      </c>
      <c r="S68" s="1">
        <v>0</v>
      </c>
      <c r="T68" s="1">
        <v>1.7256970199999999</v>
      </c>
      <c r="U68" s="1">
        <v>994.90625829999999</v>
      </c>
      <c r="V68" s="1">
        <v>269.05507419999998</v>
      </c>
      <c r="W68" s="1">
        <v>1.24007052</v>
      </c>
      <c r="X68" s="1">
        <v>267.81500369999998</v>
      </c>
      <c r="Y68" s="1">
        <v>4.8957799999999998E-3</v>
      </c>
      <c r="Z68" s="1">
        <v>267.81989950000002</v>
      </c>
      <c r="AA68" s="1">
        <v>203.02360200000001</v>
      </c>
      <c r="AB68" s="1">
        <v>57.455283590000001</v>
      </c>
      <c r="AC68" s="1">
        <v>4.3052091099999998</v>
      </c>
      <c r="AD68" s="1">
        <v>305.70622650000001</v>
      </c>
      <c r="AE68" s="1">
        <v>133.561226</v>
      </c>
      <c r="AF68" s="1">
        <v>13489.83049</v>
      </c>
      <c r="AG68" s="1">
        <v>148.3377496</v>
      </c>
      <c r="AH68" s="1">
        <v>17.54142985</v>
      </c>
      <c r="AI68" s="1">
        <v>0</v>
      </c>
      <c r="AJ68" s="1">
        <v>1.6050762300000001</v>
      </c>
      <c r="AK68" s="1">
        <v>9.1263762400000008</v>
      </c>
      <c r="AL68" s="1">
        <v>13.824770689999999</v>
      </c>
      <c r="AM68" s="1">
        <v>0</v>
      </c>
      <c r="AN68" s="1">
        <v>0</v>
      </c>
      <c r="AO68" s="1">
        <v>8.4812054900000007</v>
      </c>
      <c r="AP68" s="1">
        <v>1.3007703799999999</v>
      </c>
      <c r="AQ68" s="1">
        <v>28.802754029999999</v>
      </c>
      <c r="AR68" s="1">
        <v>144.8052916</v>
      </c>
    </row>
    <row r="69" spans="1:44">
      <c r="A69" s="1">
        <v>2019</v>
      </c>
      <c r="B69" s="1" t="s">
        <v>62</v>
      </c>
      <c r="C69" s="1" t="s">
        <v>60</v>
      </c>
      <c r="D69" s="1">
        <v>180</v>
      </c>
      <c r="E69" s="1">
        <v>791.35742210000001</v>
      </c>
      <c r="F69" s="1">
        <v>82.64599029</v>
      </c>
      <c r="G69" s="1">
        <v>220.603442</v>
      </c>
      <c r="H69" s="1">
        <v>8.7534642799999993</v>
      </c>
      <c r="I69" s="1">
        <v>0.95675946999999995</v>
      </c>
      <c r="J69" s="1">
        <v>0</v>
      </c>
      <c r="K69" s="1">
        <v>7.7967048099999996</v>
      </c>
      <c r="L69" s="1">
        <v>0.2388834</v>
      </c>
      <c r="M69" s="1">
        <v>0.23902941</v>
      </c>
      <c r="N69" s="1">
        <v>4.25107138</v>
      </c>
      <c r="O69" s="1">
        <v>178.89382309999999</v>
      </c>
      <c r="P69" s="1">
        <v>5.6509999999999998E-2</v>
      </c>
      <c r="Q69" s="1">
        <v>5.6509999999999998E-2</v>
      </c>
      <c r="R69" s="1">
        <v>0</v>
      </c>
      <c r="S69" s="1">
        <v>0</v>
      </c>
      <c r="T69" s="1">
        <v>0.65341925999999995</v>
      </c>
      <c r="U69" s="1">
        <v>598.27122129999998</v>
      </c>
      <c r="V69" s="1">
        <v>162.64676729999999</v>
      </c>
      <c r="W69" s="1">
        <v>0.86051118999999998</v>
      </c>
      <c r="X69" s="1">
        <v>161.7862562</v>
      </c>
      <c r="Y69" s="1">
        <v>1.3711400000000001E-3</v>
      </c>
      <c r="Z69" s="1">
        <v>161.7876273</v>
      </c>
      <c r="AA69" s="1">
        <v>127.7960466</v>
      </c>
      <c r="AB69" s="1">
        <v>33.166575870000003</v>
      </c>
      <c r="AC69" s="1">
        <v>2.0359710899999999</v>
      </c>
      <c r="AD69" s="1">
        <v>205.83921280000001</v>
      </c>
      <c r="AE69" s="1">
        <v>45.471321320000001</v>
      </c>
      <c r="AF69" s="1">
        <v>2915.4109050000002</v>
      </c>
      <c r="AG69" s="1">
        <v>72.633690720000004</v>
      </c>
      <c r="AH69" s="1">
        <v>7.48950374</v>
      </c>
      <c r="AI69" s="1">
        <v>0</v>
      </c>
      <c r="AJ69" s="1">
        <v>1.02003446</v>
      </c>
      <c r="AK69" s="1">
        <v>3.2311905599999999</v>
      </c>
      <c r="AL69" s="1">
        <v>5.0396137899999998</v>
      </c>
      <c r="AM69" s="1">
        <v>5.6509999999999998E-2</v>
      </c>
      <c r="AN69" s="1">
        <v>0</v>
      </c>
      <c r="AO69" s="1">
        <v>1.6689259000000001</v>
      </c>
      <c r="AP69" s="1">
        <v>0</v>
      </c>
      <c r="AQ69" s="1">
        <v>9.2035409099999992</v>
      </c>
      <c r="AR69" s="1">
        <v>56.397456990000002</v>
      </c>
    </row>
    <row r="70" spans="1:44">
      <c r="A70" s="1">
        <v>2019</v>
      </c>
      <c r="B70" s="1" t="s">
        <v>62</v>
      </c>
      <c r="C70" s="1" t="s">
        <v>61</v>
      </c>
      <c r="D70" s="1">
        <v>226</v>
      </c>
      <c r="E70" s="1">
        <v>2115.5853350000002</v>
      </c>
      <c r="F70" s="1">
        <v>328.000654</v>
      </c>
      <c r="G70" s="1">
        <v>978.29641449999997</v>
      </c>
      <c r="H70" s="1">
        <v>27.466593530000001</v>
      </c>
      <c r="I70" s="1">
        <v>1.08584678</v>
      </c>
      <c r="J70" s="1">
        <v>0</v>
      </c>
      <c r="K70" s="1">
        <v>26.38074675</v>
      </c>
      <c r="L70" s="1">
        <v>0.27528468</v>
      </c>
      <c r="M70" s="1">
        <v>0.31697350000000002</v>
      </c>
      <c r="N70" s="1">
        <v>7.6971945699999997</v>
      </c>
      <c r="O70" s="1">
        <v>448.20058030000001</v>
      </c>
      <c r="P70" s="1">
        <v>0</v>
      </c>
      <c r="Q70" s="1">
        <v>0</v>
      </c>
      <c r="R70" s="1">
        <v>0</v>
      </c>
      <c r="S70" s="1">
        <v>0</v>
      </c>
      <c r="T70" s="1">
        <v>0.75394530000000004</v>
      </c>
      <c r="U70" s="1">
        <v>1630.874763</v>
      </c>
      <c r="V70" s="1">
        <v>446.13285439999999</v>
      </c>
      <c r="W70" s="1">
        <v>4.2738531699999998</v>
      </c>
      <c r="X70" s="1">
        <v>441.85900120000002</v>
      </c>
      <c r="Y70" s="1">
        <v>1.2195360000000001E-2</v>
      </c>
      <c r="Z70" s="1">
        <v>441.87119660000002</v>
      </c>
      <c r="AA70" s="1">
        <v>317.3027118</v>
      </c>
      <c r="AB70" s="1">
        <v>109.119345</v>
      </c>
      <c r="AC70" s="1">
        <v>4.6943938599999999</v>
      </c>
      <c r="AD70" s="1">
        <v>273.26109650000001</v>
      </c>
      <c r="AE70" s="1">
        <v>73.443349929999997</v>
      </c>
      <c r="AF70" s="1">
        <v>11036.5915</v>
      </c>
      <c r="AG70" s="1">
        <v>143.64031370000001</v>
      </c>
      <c r="AH70" s="1">
        <v>26.03246188</v>
      </c>
      <c r="AI70" s="1">
        <v>0</v>
      </c>
      <c r="AJ70" s="1">
        <v>1.85267526</v>
      </c>
      <c r="AK70" s="1">
        <v>3.91402173</v>
      </c>
      <c r="AL70" s="1">
        <v>8.9616544699999992</v>
      </c>
      <c r="AM70" s="1">
        <v>0</v>
      </c>
      <c r="AN70" s="1">
        <v>0</v>
      </c>
      <c r="AO70" s="1">
        <v>4.1177463300000001</v>
      </c>
      <c r="AP70" s="1">
        <v>0</v>
      </c>
      <c r="AQ70" s="1">
        <v>9.64606487</v>
      </c>
      <c r="AR70" s="1">
        <v>193.6209767</v>
      </c>
    </row>
    <row r="71" spans="1:44">
      <c r="A71" s="1">
        <v>2019</v>
      </c>
      <c r="B71" s="1" t="s">
        <v>63</v>
      </c>
      <c r="C71" s="1" t="s">
        <v>64</v>
      </c>
      <c r="D71" s="1">
        <v>2708</v>
      </c>
      <c r="E71" s="1">
        <v>160.93809490000001</v>
      </c>
      <c r="F71" s="1">
        <v>17.476477320000001</v>
      </c>
      <c r="G71" s="1">
        <v>56.779233789999999</v>
      </c>
      <c r="H71" s="1">
        <v>7.5479727600000004</v>
      </c>
      <c r="I71" s="1">
        <v>6.5805076600000003</v>
      </c>
      <c r="J71" s="1">
        <v>1.773512E-2</v>
      </c>
      <c r="K71" s="1">
        <v>0.94972997999999997</v>
      </c>
      <c r="L71" s="1">
        <v>3.5022622299999999</v>
      </c>
      <c r="M71" s="1">
        <v>2.2115553100000001</v>
      </c>
      <c r="N71" s="1">
        <v>7.5672193300000004</v>
      </c>
      <c r="O71" s="1">
        <v>0.92418115000000001</v>
      </c>
      <c r="P71" s="1">
        <v>2.1259882499999998</v>
      </c>
      <c r="Q71" s="1">
        <v>1.9651961899999999</v>
      </c>
      <c r="R71" s="1">
        <v>0.16036233999999999</v>
      </c>
      <c r="S71" s="1">
        <v>4.2972000000000003E-4</v>
      </c>
      <c r="T71" s="1">
        <v>12.85121361</v>
      </c>
      <c r="U71" s="1">
        <v>124.2077022</v>
      </c>
      <c r="V71" s="1">
        <v>14.69817553</v>
      </c>
      <c r="W71" s="1">
        <v>7.8494000000000003E-4</v>
      </c>
      <c r="X71" s="1">
        <v>14.697390589999999</v>
      </c>
      <c r="Y71" s="1">
        <v>8.3495550000000002E-2</v>
      </c>
      <c r="Z71" s="1">
        <v>14.78088614</v>
      </c>
      <c r="AA71" s="1">
        <v>15.858926439999999</v>
      </c>
      <c r="AB71" s="1">
        <v>1.5159651999999999</v>
      </c>
      <c r="AC71" s="1">
        <v>2.6475431999999999</v>
      </c>
      <c r="AD71" s="1">
        <v>31.713565679999999</v>
      </c>
      <c r="AE71" s="1">
        <v>3.27244709</v>
      </c>
      <c r="AF71" s="1">
        <v>519.43037219999997</v>
      </c>
      <c r="AG71" s="1">
        <v>3.1683097099999999</v>
      </c>
      <c r="AH71" s="1">
        <v>1.00137845</v>
      </c>
      <c r="AI71" s="1">
        <v>3.0268399999999998E-3</v>
      </c>
      <c r="AJ71" s="1">
        <v>0.30270322999999999</v>
      </c>
      <c r="AK71" s="1">
        <v>5.35987467</v>
      </c>
      <c r="AL71" s="1">
        <v>9.4480430999999996</v>
      </c>
      <c r="AM71" s="1">
        <v>2.04872919</v>
      </c>
      <c r="AN71" s="1">
        <v>0.17533248000000001</v>
      </c>
      <c r="AO71" s="1">
        <v>0.67309657000000001</v>
      </c>
      <c r="AP71" s="1">
        <v>0.03</v>
      </c>
      <c r="AQ71" s="1">
        <v>0.99512471999999996</v>
      </c>
      <c r="AR71" s="1">
        <v>0.74426756999999999</v>
      </c>
    </row>
    <row r="72" spans="1:44">
      <c r="A72" s="1">
        <v>2018</v>
      </c>
      <c r="B72" s="1" t="s">
        <v>44</v>
      </c>
      <c r="C72" s="1" t="s">
        <v>45</v>
      </c>
      <c r="D72" s="1">
        <v>1707016</v>
      </c>
      <c r="E72" s="1">
        <v>4590.2214640000002</v>
      </c>
      <c r="F72" s="1">
        <v>18836.24987</v>
      </c>
      <c r="G72" s="1">
        <v>115700.7423</v>
      </c>
      <c r="H72" s="1">
        <v>525.332987</v>
      </c>
      <c r="I72" s="1">
        <v>489.27943090000002</v>
      </c>
      <c r="J72" s="1">
        <v>1.71054829</v>
      </c>
      <c r="K72" s="1">
        <v>34.343007800000002</v>
      </c>
      <c r="L72" s="1">
        <v>492.72884970000001</v>
      </c>
      <c r="M72" s="1">
        <v>150.4948196</v>
      </c>
      <c r="N72" s="1">
        <v>1565.3192939999999</v>
      </c>
      <c r="O72" s="1">
        <v>165.51214110000001</v>
      </c>
      <c r="P72" s="1">
        <v>548.12542550000001</v>
      </c>
      <c r="Q72" s="1">
        <v>466.43012640000001</v>
      </c>
      <c r="R72" s="1">
        <v>80.769992720000005</v>
      </c>
      <c r="S72" s="1">
        <v>0.92530635000000006</v>
      </c>
      <c r="T72" s="1">
        <v>135.87671520000001</v>
      </c>
      <c r="U72" s="1">
        <v>1006.831233</v>
      </c>
      <c r="V72" s="1">
        <v>0.29937984000000001</v>
      </c>
      <c r="W72" s="1">
        <v>0</v>
      </c>
      <c r="X72" s="1">
        <v>0.29937984000000001</v>
      </c>
      <c r="Y72" s="1">
        <v>76.400480680000001</v>
      </c>
      <c r="Z72" s="1">
        <v>76.438781449999993</v>
      </c>
      <c r="AA72" s="1">
        <v>896.54543990000002</v>
      </c>
      <c r="AB72" s="1">
        <v>8.6045720499999998</v>
      </c>
      <c r="AC72" s="1">
        <v>829.10031430000004</v>
      </c>
      <c r="AD72" s="1">
        <v>64550.730300000003</v>
      </c>
      <c r="AE72" s="1">
        <v>10458.933559999999</v>
      </c>
      <c r="AF72" s="1">
        <v>857872.00919999997</v>
      </c>
      <c r="AG72" s="1">
        <v>6064.0626910000001</v>
      </c>
      <c r="AH72" s="1">
        <v>268.35827310000002</v>
      </c>
      <c r="AI72" s="1">
        <v>3.3837869</v>
      </c>
      <c r="AJ72" s="1">
        <v>87.766419600000006</v>
      </c>
      <c r="AK72" s="1">
        <v>1284.2813630000001</v>
      </c>
      <c r="AL72" s="1">
        <v>4638.1552529999999</v>
      </c>
      <c r="AM72" s="1">
        <v>1250.741794</v>
      </c>
      <c r="AN72" s="1">
        <v>206.47816069999999</v>
      </c>
      <c r="AO72" s="1">
        <v>828.83275630000003</v>
      </c>
      <c r="AP72" s="1">
        <v>67.821647909999996</v>
      </c>
      <c r="AQ72" s="1">
        <v>2345.0688319999999</v>
      </c>
      <c r="AR72" s="1">
        <v>5750.288552</v>
      </c>
    </row>
    <row r="73" spans="1:44">
      <c r="A73" s="1">
        <v>2018</v>
      </c>
      <c r="B73" s="1" t="s">
        <v>44</v>
      </c>
      <c r="C73" s="1" t="s">
        <v>46</v>
      </c>
      <c r="D73" s="1">
        <v>973255</v>
      </c>
      <c r="E73" s="1">
        <v>12218.539049999999</v>
      </c>
      <c r="F73" s="1">
        <v>5168.6094499999999</v>
      </c>
      <c r="G73" s="1">
        <v>53243.018689999997</v>
      </c>
      <c r="H73" s="1">
        <v>352.98462180000001</v>
      </c>
      <c r="I73" s="1">
        <v>333.93507699999998</v>
      </c>
      <c r="J73" s="1">
        <v>0.48510892</v>
      </c>
      <c r="K73" s="1">
        <v>18.564435899999999</v>
      </c>
      <c r="L73" s="1">
        <v>399.1491355</v>
      </c>
      <c r="M73" s="1">
        <v>104.7779513</v>
      </c>
      <c r="N73" s="1">
        <v>782.75740989999997</v>
      </c>
      <c r="O73" s="1">
        <v>80.579012129999995</v>
      </c>
      <c r="P73" s="1">
        <v>186.62452089999999</v>
      </c>
      <c r="Q73" s="1">
        <v>162.79340199999999</v>
      </c>
      <c r="R73" s="1">
        <v>23.113301459999999</v>
      </c>
      <c r="S73" s="1">
        <v>0.71781740999999999</v>
      </c>
      <c r="T73" s="1">
        <v>1509.5469800000001</v>
      </c>
      <c r="U73" s="1">
        <v>8802.1194209999994</v>
      </c>
      <c r="V73" s="1">
        <v>0.28949756999999998</v>
      </c>
      <c r="W73" s="1">
        <v>0</v>
      </c>
      <c r="X73" s="1">
        <v>0.28949756999999998</v>
      </c>
      <c r="Y73" s="1">
        <v>19.6285226</v>
      </c>
      <c r="Z73" s="1">
        <v>19.910908589999998</v>
      </c>
      <c r="AA73" s="1">
        <v>128.4120289</v>
      </c>
      <c r="AB73" s="1">
        <v>1.5218174099999999</v>
      </c>
      <c r="AC73" s="1">
        <v>110.2735064</v>
      </c>
      <c r="AD73" s="1">
        <v>21798.935750000001</v>
      </c>
      <c r="AE73" s="1">
        <v>3291.322717</v>
      </c>
      <c r="AF73" s="1">
        <v>301214.74599999998</v>
      </c>
      <c r="AG73" s="1">
        <v>2041.5548859999999</v>
      </c>
      <c r="AH73" s="1">
        <v>66.850745630000006</v>
      </c>
      <c r="AI73" s="1">
        <v>1.2890800899999999</v>
      </c>
      <c r="AJ73" s="1">
        <v>18.56263667</v>
      </c>
      <c r="AK73" s="1">
        <v>455.52490230000001</v>
      </c>
      <c r="AL73" s="1">
        <v>1220.8143230000001</v>
      </c>
      <c r="AM73" s="1">
        <v>233.76531700000001</v>
      </c>
      <c r="AN73" s="1">
        <v>34.696970049999997</v>
      </c>
      <c r="AO73" s="1">
        <v>198.17164829999999</v>
      </c>
      <c r="AP73" s="1">
        <v>10.64315882</v>
      </c>
      <c r="AQ73" s="1">
        <v>440.21365170000001</v>
      </c>
      <c r="AR73" s="1">
        <v>1213.2560860000001</v>
      </c>
    </row>
    <row r="74" spans="1:44">
      <c r="A74" s="1">
        <v>2018</v>
      </c>
      <c r="B74" s="1" t="s">
        <v>44</v>
      </c>
      <c r="C74" s="1" t="s">
        <v>47</v>
      </c>
      <c r="D74" s="1">
        <v>3802175</v>
      </c>
      <c r="E74" s="1">
        <v>99959.043250000002</v>
      </c>
      <c r="F74" s="1">
        <v>13884.332539999999</v>
      </c>
      <c r="G74" s="1">
        <v>84451.516539999997</v>
      </c>
      <c r="H74" s="1">
        <v>3082.876006</v>
      </c>
      <c r="I74" s="1">
        <v>2947.635608</v>
      </c>
      <c r="J74" s="1">
        <v>3.9516707700000002</v>
      </c>
      <c r="K74" s="1">
        <v>131.28872749999999</v>
      </c>
      <c r="L74" s="1">
        <v>3990.0876309999999</v>
      </c>
      <c r="M74" s="1">
        <v>1249.004396</v>
      </c>
      <c r="N74" s="1">
        <v>3964.8656890000002</v>
      </c>
      <c r="O74" s="1">
        <v>489.52368999999999</v>
      </c>
      <c r="P74" s="1">
        <v>1319.7836119999999</v>
      </c>
      <c r="Q74" s="1">
        <v>1187.647007</v>
      </c>
      <c r="R74" s="1">
        <v>129.1058807</v>
      </c>
      <c r="S74" s="1">
        <v>3.03072476</v>
      </c>
      <c r="T74" s="1">
        <v>11924.97047</v>
      </c>
      <c r="U74" s="1">
        <v>73937.931750000003</v>
      </c>
      <c r="V74" s="1">
        <v>1.8458193000000001</v>
      </c>
      <c r="W74" s="1">
        <v>2.2872999999999999E-4</v>
      </c>
      <c r="X74" s="1">
        <v>1.8455905699999999</v>
      </c>
      <c r="Y74" s="1">
        <v>36.014106720000001</v>
      </c>
      <c r="Z74" s="1">
        <v>37.745017859999997</v>
      </c>
      <c r="AA74" s="1">
        <v>868.68089320000001</v>
      </c>
      <c r="AB74" s="1">
        <v>3.8653432599999999</v>
      </c>
      <c r="AC74" s="1">
        <v>837.73676980000005</v>
      </c>
      <c r="AD74" s="1">
        <v>51681.85613</v>
      </c>
      <c r="AE74" s="1">
        <v>5221.5287959999996</v>
      </c>
      <c r="AF74" s="1">
        <v>754285.98080000002</v>
      </c>
      <c r="AG74" s="1">
        <v>4258.5742330000003</v>
      </c>
      <c r="AH74" s="1">
        <v>199.66792409999999</v>
      </c>
      <c r="AI74" s="1">
        <v>3.0121560000000001</v>
      </c>
      <c r="AJ74" s="1">
        <v>74.283358410000005</v>
      </c>
      <c r="AK74" s="1">
        <v>2612.9127560000002</v>
      </c>
      <c r="AL74" s="1">
        <v>5207.6601540000001</v>
      </c>
      <c r="AM74" s="1">
        <v>1347.2632719999999</v>
      </c>
      <c r="AN74" s="1">
        <v>157.02041750000001</v>
      </c>
      <c r="AO74" s="1">
        <v>516.92536519999999</v>
      </c>
      <c r="AP74" s="1">
        <v>34.894142909999999</v>
      </c>
      <c r="AQ74" s="1">
        <v>1164.8188950000001</v>
      </c>
      <c r="AR74" s="1">
        <v>2355.7967189999999</v>
      </c>
    </row>
    <row r="75" spans="1:44">
      <c r="A75" s="1">
        <v>2018</v>
      </c>
      <c r="B75" s="1" t="s">
        <v>44</v>
      </c>
      <c r="C75" s="1" t="s">
        <v>48</v>
      </c>
      <c r="D75" s="1">
        <v>4070053</v>
      </c>
      <c r="E75" s="1">
        <v>155073.35060000001</v>
      </c>
      <c r="F75" s="1">
        <v>19531.532660000001</v>
      </c>
      <c r="G75" s="1">
        <v>57164.936889999997</v>
      </c>
      <c r="H75" s="1">
        <v>6798.1051020000004</v>
      </c>
      <c r="I75" s="1">
        <v>6453.9354549999998</v>
      </c>
      <c r="J75" s="1">
        <v>5.7365042800000001</v>
      </c>
      <c r="K75" s="1">
        <v>338.43314279999998</v>
      </c>
      <c r="L75" s="1">
        <v>6462.3419889999996</v>
      </c>
      <c r="M75" s="1">
        <v>2637.69713</v>
      </c>
      <c r="N75" s="1">
        <v>6290.7216019999996</v>
      </c>
      <c r="O75" s="1">
        <v>759.23057849999998</v>
      </c>
      <c r="P75" s="1">
        <v>1953.0494080000001</v>
      </c>
      <c r="Q75" s="1">
        <v>1762.1500060000001</v>
      </c>
      <c r="R75" s="1">
        <v>188.28748419999999</v>
      </c>
      <c r="S75" s="1">
        <v>2.61191803</v>
      </c>
      <c r="T75" s="1">
        <v>16676.37069</v>
      </c>
      <c r="U75" s="1">
        <v>113495.83409999999</v>
      </c>
      <c r="V75" s="1">
        <v>1542.1796400000001</v>
      </c>
      <c r="W75" s="1">
        <v>0.11009055</v>
      </c>
      <c r="X75" s="1">
        <v>1542.0695499999999</v>
      </c>
      <c r="Y75" s="1">
        <v>38.893623560000002</v>
      </c>
      <c r="Z75" s="1">
        <v>1574.230949</v>
      </c>
      <c r="AA75" s="1">
        <v>7301.9801930000003</v>
      </c>
      <c r="AB75" s="1">
        <v>260.96779370000002</v>
      </c>
      <c r="AC75" s="1">
        <v>6000.5806469999998</v>
      </c>
      <c r="AD75" s="1">
        <v>48933.141669999997</v>
      </c>
      <c r="AE75" s="1">
        <v>3297.8412560000002</v>
      </c>
      <c r="AF75" s="1">
        <v>619000.87620000006</v>
      </c>
      <c r="AG75" s="1">
        <v>3642.9956659999998</v>
      </c>
      <c r="AH75" s="1">
        <v>327.71084400000001</v>
      </c>
      <c r="AI75" s="1">
        <v>4.7001476699999998</v>
      </c>
      <c r="AJ75" s="1">
        <v>157.9032502</v>
      </c>
      <c r="AK75" s="1">
        <v>4759.3956390000003</v>
      </c>
      <c r="AL75" s="1">
        <v>7208.1801740000001</v>
      </c>
      <c r="AM75" s="1">
        <v>1812.6115870000001</v>
      </c>
      <c r="AN75" s="1">
        <v>195.2532124</v>
      </c>
      <c r="AO75" s="1">
        <v>528.73916569999994</v>
      </c>
      <c r="AP75" s="1">
        <v>27.796318790000001</v>
      </c>
      <c r="AQ75" s="1">
        <v>1252.353971</v>
      </c>
      <c r="AR75" s="1">
        <v>1593.189543</v>
      </c>
    </row>
    <row r="76" spans="1:44">
      <c r="A76" s="1">
        <v>2018</v>
      </c>
      <c r="B76" s="1" t="s">
        <v>44</v>
      </c>
      <c r="C76" s="1" t="s">
        <v>49</v>
      </c>
      <c r="D76" s="1">
        <v>3248147</v>
      </c>
      <c r="E76" s="1">
        <v>192265.85269999999</v>
      </c>
      <c r="F76" s="1">
        <v>27339.916450000001</v>
      </c>
      <c r="G76" s="1">
        <v>77522.151989999998</v>
      </c>
      <c r="H76" s="1">
        <v>8782.1971279999998</v>
      </c>
      <c r="I76" s="1">
        <v>8057.9968440000002</v>
      </c>
      <c r="J76" s="1">
        <v>6.2885525900000001</v>
      </c>
      <c r="K76" s="1">
        <v>717.91173179999998</v>
      </c>
      <c r="L76" s="1">
        <v>5432.5702540000002</v>
      </c>
      <c r="M76" s="1">
        <v>3293.3156640000002</v>
      </c>
      <c r="N76" s="1">
        <v>8291.2651459999997</v>
      </c>
      <c r="O76" s="1">
        <v>1131.94514</v>
      </c>
      <c r="P76" s="1">
        <v>2647.905577</v>
      </c>
      <c r="Q76" s="1">
        <v>2388.071848</v>
      </c>
      <c r="R76" s="1">
        <v>257.32896829999999</v>
      </c>
      <c r="S76" s="1">
        <v>2.5047611999999999</v>
      </c>
      <c r="T76" s="1">
        <v>20272.902450000001</v>
      </c>
      <c r="U76" s="1">
        <v>142413.75140000001</v>
      </c>
      <c r="V76" s="1">
        <v>8099.4769919999999</v>
      </c>
      <c r="W76" s="1">
        <v>1.3498657300000001</v>
      </c>
      <c r="X76" s="1">
        <v>8098.1271260000003</v>
      </c>
      <c r="Y76" s="1">
        <v>71.508320710000007</v>
      </c>
      <c r="Z76" s="1">
        <v>8133.1332350000002</v>
      </c>
      <c r="AA76" s="1">
        <v>10746.728810000001</v>
      </c>
      <c r="AB76" s="1">
        <v>1331.261681</v>
      </c>
      <c r="AC76" s="1">
        <v>4002.3620299999998</v>
      </c>
      <c r="AD76" s="1">
        <v>70417.441560000007</v>
      </c>
      <c r="AE76" s="1">
        <v>4972.5745740000002</v>
      </c>
      <c r="AF76" s="1">
        <v>822979.91709999996</v>
      </c>
      <c r="AG76" s="1">
        <v>5516.6874180000004</v>
      </c>
      <c r="AH76" s="1">
        <v>685.48119139999994</v>
      </c>
      <c r="AI76" s="1">
        <v>10.874100139999999</v>
      </c>
      <c r="AJ76" s="1">
        <v>312.21074420000002</v>
      </c>
      <c r="AK76" s="1">
        <v>6779.8359810000002</v>
      </c>
      <c r="AL76" s="1">
        <v>9994.8148079999992</v>
      </c>
      <c r="AM76" s="1">
        <v>2460.7858470000001</v>
      </c>
      <c r="AN76" s="1">
        <v>267.64102989999998</v>
      </c>
      <c r="AO76" s="1">
        <v>777.48151840000003</v>
      </c>
      <c r="AP76" s="1">
        <v>47.443891280000003</v>
      </c>
      <c r="AQ76" s="1">
        <v>2061.8596750000002</v>
      </c>
      <c r="AR76" s="1">
        <v>3111.988128</v>
      </c>
    </row>
    <row r="77" spans="1:44">
      <c r="A77" s="1">
        <v>2018</v>
      </c>
      <c r="B77" s="1" t="s">
        <v>44</v>
      </c>
      <c r="C77" s="1" t="s">
        <v>50</v>
      </c>
      <c r="D77" s="1">
        <v>1217169</v>
      </c>
      <c r="E77" s="1">
        <v>108410.15670000001</v>
      </c>
      <c r="F77" s="1">
        <v>15526.697249999999</v>
      </c>
      <c r="G77" s="1">
        <v>42095.523849999998</v>
      </c>
      <c r="H77" s="1">
        <v>4974.209492</v>
      </c>
      <c r="I77" s="1">
        <v>4283.5757830000002</v>
      </c>
      <c r="J77" s="1">
        <v>3.1372535400000001</v>
      </c>
      <c r="K77" s="1">
        <v>687.49645550000002</v>
      </c>
      <c r="L77" s="1">
        <v>2227.1577149999998</v>
      </c>
      <c r="M77" s="1">
        <v>1756.126082</v>
      </c>
      <c r="N77" s="1">
        <v>4902.3124209999996</v>
      </c>
      <c r="O77" s="1">
        <v>720.78557960000001</v>
      </c>
      <c r="P77" s="1">
        <v>1736.9097839999999</v>
      </c>
      <c r="Q77" s="1">
        <v>1554.231601</v>
      </c>
      <c r="R77" s="1">
        <v>181.39918019999999</v>
      </c>
      <c r="S77" s="1">
        <v>1.2790018700000001</v>
      </c>
      <c r="T77" s="1">
        <v>10515.066779999999</v>
      </c>
      <c r="U77" s="1">
        <v>81577.588870000007</v>
      </c>
      <c r="V77" s="1">
        <v>9740.4407580000006</v>
      </c>
      <c r="W77" s="1">
        <v>2.5007816699999998</v>
      </c>
      <c r="X77" s="1">
        <v>9737.9399759999997</v>
      </c>
      <c r="Y77" s="1">
        <v>43.249753159999997</v>
      </c>
      <c r="Z77" s="1">
        <v>9758.0854089999993</v>
      </c>
      <c r="AA77" s="1">
        <v>10283.544019999999</v>
      </c>
      <c r="AB77" s="1">
        <v>1434.0500059999999</v>
      </c>
      <c r="AC77" s="1">
        <v>2020.0260089999999</v>
      </c>
      <c r="AD77" s="1">
        <v>37936.55659</v>
      </c>
      <c r="AE77" s="1">
        <v>2386.2949709999998</v>
      </c>
      <c r="AF77" s="1">
        <v>454020.33620000002</v>
      </c>
      <c r="AG77" s="1">
        <v>3370.9225270000002</v>
      </c>
      <c r="AH77" s="1">
        <v>648.32557139999994</v>
      </c>
      <c r="AI77" s="1">
        <v>15.4539604</v>
      </c>
      <c r="AJ77" s="1">
        <v>273.7470361</v>
      </c>
      <c r="AK77" s="1">
        <v>4017.671421</v>
      </c>
      <c r="AL77" s="1">
        <v>6049.8246909999998</v>
      </c>
      <c r="AM77" s="1">
        <v>1592.126019</v>
      </c>
      <c r="AN77" s="1">
        <v>185.96335880000001</v>
      </c>
      <c r="AO77" s="1">
        <v>437.63632519999999</v>
      </c>
      <c r="AP77" s="1">
        <v>26.464444270000001</v>
      </c>
      <c r="AQ77" s="1">
        <v>1211.130228</v>
      </c>
      <c r="AR77" s="1">
        <v>1468.3760090000001</v>
      </c>
    </row>
    <row r="78" spans="1:44">
      <c r="A78" s="1">
        <v>2018</v>
      </c>
      <c r="B78" s="1" t="s">
        <v>44</v>
      </c>
      <c r="C78" s="1" t="s">
        <v>51</v>
      </c>
      <c r="D78" s="1">
        <v>894407</v>
      </c>
      <c r="E78" s="1">
        <v>108426.8078</v>
      </c>
      <c r="F78" s="1">
        <v>16186.434520000001</v>
      </c>
      <c r="G78" s="1">
        <v>35799.423170000002</v>
      </c>
      <c r="H78" s="1">
        <v>5823.4996629999996</v>
      </c>
      <c r="I78" s="1">
        <v>4689.6666990000003</v>
      </c>
      <c r="J78" s="1">
        <v>2.60455119</v>
      </c>
      <c r="K78" s="1">
        <v>1131.228413</v>
      </c>
      <c r="L78" s="1">
        <v>1850.597849</v>
      </c>
      <c r="M78" s="1">
        <v>1493.111312</v>
      </c>
      <c r="N78" s="1">
        <v>5130.0104689999998</v>
      </c>
      <c r="O78" s="1">
        <v>698.19026220000001</v>
      </c>
      <c r="P78" s="1">
        <v>1743.409009</v>
      </c>
      <c r="Q78" s="1">
        <v>1550.5339919999999</v>
      </c>
      <c r="R78" s="1">
        <v>191.98624509999999</v>
      </c>
      <c r="S78" s="1">
        <v>0.88877167000000001</v>
      </c>
      <c r="T78" s="1">
        <v>6329.9069319999999</v>
      </c>
      <c r="U78" s="1">
        <v>85358.082280000002</v>
      </c>
      <c r="V78" s="1">
        <v>14147.35973</v>
      </c>
      <c r="W78" s="1">
        <v>5.4650881199999999</v>
      </c>
      <c r="X78" s="1">
        <v>14141.89464</v>
      </c>
      <c r="Y78" s="1">
        <v>52.600506369999998</v>
      </c>
      <c r="Z78" s="1">
        <v>14164.1086</v>
      </c>
      <c r="AA78" s="1">
        <v>13971.8043</v>
      </c>
      <c r="AB78" s="1">
        <v>1695.373509</v>
      </c>
      <c r="AC78" s="1">
        <v>1572.103736</v>
      </c>
      <c r="AD78" s="1">
        <v>34395.012739999998</v>
      </c>
      <c r="AE78" s="1">
        <v>2510.4213869999999</v>
      </c>
      <c r="AF78" s="1">
        <v>450007.277</v>
      </c>
      <c r="AG78" s="1">
        <v>3374.3436510000001</v>
      </c>
      <c r="AH78" s="1">
        <v>983.75446839999995</v>
      </c>
      <c r="AI78" s="1">
        <v>41.946342870000002</v>
      </c>
      <c r="AJ78" s="1">
        <v>384.18254439999998</v>
      </c>
      <c r="AK78" s="1">
        <v>3814.6445520000002</v>
      </c>
      <c r="AL78" s="1">
        <v>5923.2111139999997</v>
      </c>
      <c r="AM78" s="1">
        <v>1569.4080469999999</v>
      </c>
      <c r="AN78" s="1">
        <v>194.6786175</v>
      </c>
      <c r="AO78" s="1">
        <v>447.0188804</v>
      </c>
      <c r="AP78" s="1">
        <v>25.76335074</v>
      </c>
      <c r="AQ78" s="1">
        <v>1366.8348570000001</v>
      </c>
      <c r="AR78" s="1">
        <v>1822.8423170000001</v>
      </c>
    </row>
    <row r="79" spans="1:44">
      <c r="A79" s="1">
        <v>2018</v>
      </c>
      <c r="B79" s="1" t="s">
        <v>44</v>
      </c>
      <c r="C79" s="1" t="s">
        <v>52</v>
      </c>
      <c r="D79" s="1">
        <v>697420</v>
      </c>
      <c r="E79" s="1">
        <v>119107.8934</v>
      </c>
      <c r="F79" s="1">
        <v>19199.17712</v>
      </c>
      <c r="G79" s="1">
        <v>38547.446600000003</v>
      </c>
      <c r="H79" s="1">
        <v>7699.2283669999997</v>
      </c>
      <c r="I79" s="1">
        <v>5788.4494619999996</v>
      </c>
      <c r="J79" s="1">
        <v>3.09992672</v>
      </c>
      <c r="K79" s="1">
        <v>1907.6789779999999</v>
      </c>
      <c r="L79" s="1">
        <v>1594.9903360000001</v>
      </c>
      <c r="M79" s="1">
        <v>1321.4392319999999</v>
      </c>
      <c r="N79" s="1">
        <v>5601.6208180000003</v>
      </c>
      <c r="O79" s="1">
        <v>778.83907060000001</v>
      </c>
      <c r="P79" s="1">
        <v>1854.293999</v>
      </c>
      <c r="Q79" s="1">
        <v>1633.0584309999999</v>
      </c>
      <c r="R79" s="1">
        <v>220.46108029999999</v>
      </c>
      <c r="S79" s="1">
        <v>0.77448813999999999</v>
      </c>
      <c r="T79" s="1">
        <v>3265.7391980000002</v>
      </c>
      <c r="U79" s="1">
        <v>96991.742360000004</v>
      </c>
      <c r="V79" s="1">
        <v>19401.084200000001</v>
      </c>
      <c r="W79" s="1">
        <v>12.3683818</v>
      </c>
      <c r="X79" s="1">
        <v>19388.715820000001</v>
      </c>
      <c r="Y79" s="1">
        <v>66.113352710000001</v>
      </c>
      <c r="Z79" s="1">
        <v>19407.81927</v>
      </c>
      <c r="AA79" s="1">
        <v>18843.636119999999</v>
      </c>
      <c r="AB79" s="1">
        <v>1825.985314</v>
      </c>
      <c r="AC79" s="1">
        <v>1346.3845080000001</v>
      </c>
      <c r="AD79" s="1">
        <v>37616.371339999998</v>
      </c>
      <c r="AE79" s="1">
        <v>2821.93588</v>
      </c>
      <c r="AF79" s="1">
        <v>505830.93369999999</v>
      </c>
      <c r="AG79" s="1">
        <v>3990.4547739999998</v>
      </c>
      <c r="AH79" s="1">
        <v>1572.9094970000001</v>
      </c>
      <c r="AI79" s="1">
        <v>63.972465530000001</v>
      </c>
      <c r="AJ79" s="1">
        <v>533.07541170000002</v>
      </c>
      <c r="AK79" s="1">
        <v>3995.352026</v>
      </c>
      <c r="AL79" s="1">
        <v>6136.8780960000004</v>
      </c>
      <c r="AM79" s="1">
        <v>1646.6692149999999</v>
      </c>
      <c r="AN79" s="1">
        <v>222.28747910000001</v>
      </c>
      <c r="AO79" s="1">
        <v>504.6420104</v>
      </c>
      <c r="AP79" s="1">
        <v>20.62078885</v>
      </c>
      <c r="AQ79" s="1">
        <v>1577.783932</v>
      </c>
      <c r="AR79" s="1">
        <v>1870.250597</v>
      </c>
    </row>
    <row r="80" spans="1:44">
      <c r="A80" s="1">
        <v>2018</v>
      </c>
      <c r="B80" s="1" t="s">
        <v>44</v>
      </c>
      <c r="C80" s="1" t="s">
        <v>53</v>
      </c>
      <c r="D80" s="1">
        <v>318345</v>
      </c>
      <c r="E80" s="1">
        <v>75417.369260000007</v>
      </c>
      <c r="F80" s="1">
        <v>13262.872380000001</v>
      </c>
      <c r="G80" s="1">
        <v>23530.660339999999</v>
      </c>
      <c r="H80" s="1">
        <v>5468.8099510000002</v>
      </c>
      <c r="I80" s="1">
        <v>3945.0425660000001</v>
      </c>
      <c r="J80" s="1">
        <v>1.87512491</v>
      </c>
      <c r="K80" s="1">
        <v>1521.8922600000001</v>
      </c>
      <c r="L80" s="1">
        <v>738.5728709</v>
      </c>
      <c r="M80" s="1">
        <v>621.62621060000004</v>
      </c>
      <c r="N80" s="1">
        <v>3324.2005279999998</v>
      </c>
      <c r="O80" s="1">
        <v>591.80078140000001</v>
      </c>
      <c r="P80" s="1">
        <v>1093.914978</v>
      </c>
      <c r="Q80" s="1">
        <v>958.95699439999999</v>
      </c>
      <c r="R80" s="1">
        <v>134.4695577</v>
      </c>
      <c r="S80" s="1">
        <v>0.48842560000000002</v>
      </c>
      <c r="T80" s="1">
        <v>927.30245600000001</v>
      </c>
      <c r="U80" s="1">
        <v>62651.141490000002</v>
      </c>
      <c r="V80" s="1">
        <v>13910.352580000001</v>
      </c>
      <c r="W80" s="1">
        <v>13.269709840000001</v>
      </c>
      <c r="X80" s="1">
        <v>13897.08287</v>
      </c>
      <c r="Y80" s="1">
        <v>52.081302200000003</v>
      </c>
      <c r="Z80" s="1">
        <v>13910.056210000001</v>
      </c>
      <c r="AA80" s="1">
        <v>13480.63753</v>
      </c>
      <c r="AB80" s="1">
        <v>1140.334012</v>
      </c>
      <c r="AC80" s="1">
        <v>771.91337150000004</v>
      </c>
      <c r="AD80" s="1">
        <v>24616.6234</v>
      </c>
      <c r="AE80" s="1">
        <v>1874.2540739999999</v>
      </c>
      <c r="AF80" s="1">
        <v>344446.42200000002</v>
      </c>
      <c r="AG80" s="1">
        <v>3019.6244940000001</v>
      </c>
      <c r="AH80" s="1">
        <v>1263.943432</v>
      </c>
      <c r="AI80" s="1">
        <v>38.896024060000002</v>
      </c>
      <c r="AJ80" s="1">
        <v>353.35442510000001</v>
      </c>
      <c r="AK80" s="1">
        <v>2315.5051629999998</v>
      </c>
      <c r="AL80" s="1">
        <v>3570.1159579999999</v>
      </c>
      <c r="AM80" s="1">
        <v>965.79373520000001</v>
      </c>
      <c r="AN80" s="1">
        <v>135.57613749999999</v>
      </c>
      <c r="AO80" s="1">
        <v>309.79198910000002</v>
      </c>
      <c r="AP80" s="1">
        <v>17.993506050000001</v>
      </c>
      <c r="AQ80" s="1">
        <v>1273.439597</v>
      </c>
      <c r="AR80" s="1">
        <v>1423.38138</v>
      </c>
    </row>
    <row r="81" spans="1:44">
      <c r="A81" s="1">
        <v>2018</v>
      </c>
      <c r="B81" s="1" t="s">
        <v>44</v>
      </c>
      <c r="C81" s="1" t="s">
        <v>54</v>
      </c>
      <c r="D81" s="1">
        <v>282789</v>
      </c>
      <c r="E81" s="1">
        <v>93321.375920000006</v>
      </c>
      <c r="F81" s="1">
        <v>17043.422879999998</v>
      </c>
      <c r="G81" s="1">
        <v>34276.468359999999</v>
      </c>
      <c r="H81" s="1">
        <v>7132.5615660000003</v>
      </c>
      <c r="I81" s="1">
        <v>5175.6627509999998</v>
      </c>
      <c r="J81" s="1">
        <v>2.9759534099999998</v>
      </c>
      <c r="K81" s="1">
        <v>1953.922861</v>
      </c>
      <c r="L81" s="1">
        <v>673.30310080000004</v>
      </c>
      <c r="M81" s="1">
        <v>582.22626849999995</v>
      </c>
      <c r="N81" s="1">
        <v>3913.568984</v>
      </c>
      <c r="O81" s="1">
        <v>931.51674700000001</v>
      </c>
      <c r="P81" s="1">
        <v>1114.392161</v>
      </c>
      <c r="Q81" s="1">
        <v>979.20832800000005</v>
      </c>
      <c r="R81" s="1">
        <v>134.7517714</v>
      </c>
      <c r="S81" s="1">
        <v>0.43206180999999999</v>
      </c>
      <c r="T81" s="1">
        <v>569.1449298</v>
      </c>
      <c r="U81" s="1">
        <v>78404.662160000007</v>
      </c>
      <c r="V81" s="1">
        <v>18613.605319999999</v>
      </c>
      <c r="W81" s="1">
        <v>25.150953529999999</v>
      </c>
      <c r="X81" s="1">
        <v>18588.45436</v>
      </c>
      <c r="Y81" s="1">
        <v>94.984820209999995</v>
      </c>
      <c r="Z81" s="1">
        <v>18625.614989999998</v>
      </c>
      <c r="AA81" s="1">
        <v>18069.8249</v>
      </c>
      <c r="AB81" s="1">
        <v>1356.3501189999999</v>
      </c>
      <c r="AC81" s="1">
        <v>885.84086830000001</v>
      </c>
      <c r="AD81" s="1">
        <v>29413.48315</v>
      </c>
      <c r="AE81" s="1">
        <v>3141.0059419999998</v>
      </c>
      <c r="AF81" s="1">
        <v>467564.08919999999</v>
      </c>
      <c r="AG81" s="1">
        <v>4339.6165369999999</v>
      </c>
      <c r="AH81" s="1">
        <v>1651.3978970000001</v>
      </c>
      <c r="AI81" s="1">
        <v>82.248964139999998</v>
      </c>
      <c r="AJ81" s="1">
        <v>395.26307730000002</v>
      </c>
      <c r="AK81" s="1">
        <v>2641.6770780000002</v>
      </c>
      <c r="AL81" s="1">
        <v>4187.0382499999996</v>
      </c>
      <c r="AM81" s="1">
        <v>987.41062030000001</v>
      </c>
      <c r="AN81" s="1">
        <v>135.79680730000001</v>
      </c>
      <c r="AO81" s="1">
        <v>551.87323249999997</v>
      </c>
      <c r="AP81" s="1">
        <v>16.280210060000002</v>
      </c>
      <c r="AQ81" s="1">
        <v>1606.022909</v>
      </c>
      <c r="AR81" s="1">
        <v>2335.970139</v>
      </c>
    </row>
    <row r="82" spans="1:44">
      <c r="A82" s="1">
        <v>2018</v>
      </c>
      <c r="B82" s="1" t="s">
        <v>44</v>
      </c>
      <c r="C82" s="1" t="s">
        <v>55</v>
      </c>
      <c r="D82" s="1">
        <v>82411</v>
      </c>
      <c r="E82" s="1">
        <v>36985.990109999999</v>
      </c>
      <c r="F82" s="1">
        <v>8304.4823379999998</v>
      </c>
      <c r="G82" s="1">
        <v>18200.54449</v>
      </c>
      <c r="H82" s="1">
        <v>2333.261199</v>
      </c>
      <c r="I82" s="1">
        <v>1454.454178</v>
      </c>
      <c r="J82" s="1">
        <v>1.74270477</v>
      </c>
      <c r="K82" s="1">
        <v>877.06431620000001</v>
      </c>
      <c r="L82" s="1">
        <v>199.64509519999999</v>
      </c>
      <c r="M82" s="1">
        <v>181.82243829999999</v>
      </c>
      <c r="N82" s="1">
        <v>1160.992076</v>
      </c>
      <c r="O82" s="1">
        <v>628.061329</v>
      </c>
      <c r="P82" s="1">
        <v>311.42749350000003</v>
      </c>
      <c r="Q82" s="1">
        <v>270.17599710000002</v>
      </c>
      <c r="R82" s="1">
        <v>41.203033009999999</v>
      </c>
      <c r="S82" s="1">
        <v>4.8463470000000002E-2</v>
      </c>
      <c r="T82" s="1">
        <v>176.49021759999999</v>
      </c>
      <c r="U82" s="1">
        <v>31994.290260000002</v>
      </c>
      <c r="V82" s="1">
        <v>7939.8720880000001</v>
      </c>
      <c r="W82" s="1">
        <v>14.35074915</v>
      </c>
      <c r="X82" s="1">
        <v>7925.5213389999999</v>
      </c>
      <c r="Y82" s="1">
        <v>31.450907040000001</v>
      </c>
      <c r="Z82" s="1">
        <v>7934.1502829999999</v>
      </c>
      <c r="AA82" s="1">
        <v>7324.757783</v>
      </c>
      <c r="AB82" s="1">
        <v>743.0037691</v>
      </c>
      <c r="AC82" s="1">
        <v>203.88566259999999</v>
      </c>
      <c r="AD82" s="1">
        <v>12471.08114</v>
      </c>
      <c r="AE82" s="1">
        <v>1228.380249</v>
      </c>
      <c r="AF82" s="1">
        <v>246832.02069999999</v>
      </c>
      <c r="AG82" s="1">
        <v>1994.3056959999999</v>
      </c>
      <c r="AH82" s="1">
        <v>745.98377559999994</v>
      </c>
      <c r="AI82" s="1">
        <v>23.001549069999999</v>
      </c>
      <c r="AJ82" s="1">
        <v>169.5432419</v>
      </c>
      <c r="AK82" s="1">
        <v>1016.082149</v>
      </c>
      <c r="AL82" s="1">
        <v>1274.032872</v>
      </c>
      <c r="AM82" s="1">
        <v>272.03013570000002</v>
      </c>
      <c r="AN82" s="1">
        <v>41.382391370000001</v>
      </c>
      <c r="AO82" s="1">
        <v>156.49757349999999</v>
      </c>
      <c r="AP82" s="1">
        <v>8.2778065200000004</v>
      </c>
      <c r="AQ82" s="1">
        <v>663.66710880000005</v>
      </c>
      <c r="AR82" s="1">
        <v>1072.1075330000001</v>
      </c>
    </row>
    <row r="83" spans="1:44">
      <c r="A83" s="1">
        <v>2018</v>
      </c>
      <c r="B83" s="1" t="s">
        <v>44</v>
      </c>
      <c r="C83" s="1" t="s">
        <v>56</v>
      </c>
      <c r="D83" s="1">
        <v>44073</v>
      </c>
      <c r="E83" s="1">
        <v>27288.819599999999</v>
      </c>
      <c r="F83" s="1">
        <v>7774.6911570000002</v>
      </c>
      <c r="G83" s="1">
        <v>17823.339769999999</v>
      </c>
      <c r="H83" s="1">
        <v>1297.904239</v>
      </c>
      <c r="I83" s="1">
        <v>553.86217160000001</v>
      </c>
      <c r="J83" s="1">
        <v>1.95345276</v>
      </c>
      <c r="K83" s="1">
        <v>742.08861430000002</v>
      </c>
      <c r="L83" s="1">
        <v>112.2069456</v>
      </c>
      <c r="M83" s="1">
        <v>103.6341869</v>
      </c>
      <c r="N83" s="1">
        <v>643.33404410000003</v>
      </c>
      <c r="O83" s="1">
        <v>772.40489639999998</v>
      </c>
      <c r="P83" s="1">
        <v>207.8734996</v>
      </c>
      <c r="Q83" s="1">
        <v>174.9309615</v>
      </c>
      <c r="R83" s="1">
        <v>32.550930870000002</v>
      </c>
      <c r="S83" s="1">
        <v>0.39160725000000002</v>
      </c>
      <c r="T83" s="1">
        <v>119.5422159</v>
      </c>
      <c r="U83" s="1">
        <v>24031.919569999998</v>
      </c>
      <c r="V83" s="1">
        <v>6150.0386200000003</v>
      </c>
      <c r="W83" s="1">
        <v>13.444750409999999</v>
      </c>
      <c r="X83" s="1">
        <v>6136.5938690000003</v>
      </c>
      <c r="Y83" s="1">
        <v>10.275502469999999</v>
      </c>
      <c r="Z83" s="1">
        <v>6133.3444259999997</v>
      </c>
      <c r="AA83" s="1">
        <v>5496.2825549999998</v>
      </c>
      <c r="AB83" s="1">
        <v>668.31477849999999</v>
      </c>
      <c r="AC83" s="1">
        <v>148.60912959999999</v>
      </c>
      <c r="AD83" s="1">
        <v>11772.681619999999</v>
      </c>
      <c r="AE83" s="1">
        <v>1985.6645510000001</v>
      </c>
      <c r="AF83" s="1">
        <v>225618.81450000001</v>
      </c>
      <c r="AG83" s="1">
        <v>1792.6858360000001</v>
      </c>
      <c r="AH83" s="1">
        <v>648.3302079</v>
      </c>
      <c r="AI83" s="1">
        <v>1.9957163099999999</v>
      </c>
      <c r="AJ83" s="1">
        <v>136.2809034</v>
      </c>
      <c r="AK83" s="1">
        <v>689.59037679999994</v>
      </c>
      <c r="AL83" s="1">
        <v>731.92837870000005</v>
      </c>
      <c r="AM83" s="1">
        <v>176.96136659999999</v>
      </c>
      <c r="AN83" s="1">
        <v>32.765574790000002</v>
      </c>
      <c r="AO83" s="1">
        <v>132.17273890000001</v>
      </c>
      <c r="AP83" s="1">
        <v>7.1733246299999998</v>
      </c>
      <c r="AQ83" s="1">
        <v>540.4616949</v>
      </c>
      <c r="AR83" s="1">
        <v>1374.523981</v>
      </c>
    </row>
    <row r="84" spans="1:44">
      <c r="A84" s="1">
        <v>2018</v>
      </c>
      <c r="B84" s="1" t="s">
        <v>44</v>
      </c>
      <c r="C84" s="1" t="s">
        <v>57</v>
      </c>
      <c r="D84" s="1">
        <v>12801</v>
      </c>
      <c r="E84" s="1">
        <v>11275.537630000001</v>
      </c>
      <c r="F84" s="1">
        <v>3377.1927110000001</v>
      </c>
      <c r="G84" s="1">
        <v>7519.8584650000003</v>
      </c>
      <c r="H84" s="1">
        <v>392.0549729</v>
      </c>
      <c r="I84" s="1">
        <v>121.317526</v>
      </c>
      <c r="J84" s="1">
        <v>0.39059313000000001</v>
      </c>
      <c r="K84" s="1">
        <v>270.34685380000002</v>
      </c>
      <c r="L84" s="1">
        <v>31.480281959999999</v>
      </c>
      <c r="M84" s="1">
        <v>29.152789179999999</v>
      </c>
      <c r="N84" s="1">
        <v>199.03484829999999</v>
      </c>
      <c r="O84" s="1">
        <v>481.40718930000003</v>
      </c>
      <c r="P84" s="1">
        <v>61.810802690000003</v>
      </c>
      <c r="Q84" s="1">
        <v>50.753506809999998</v>
      </c>
      <c r="R84" s="1">
        <v>11.05729588</v>
      </c>
      <c r="S84" s="1">
        <v>0</v>
      </c>
      <c r="T84" s="1">
        <v>45.337244040000002</v>
      </c>
      <c r="U84" s="1">
        <v>10035.25951</v>
      </c>
      <c r="V84" s="1">
        <v>2626.6526950000002</v>
      </c>
      <c r="W84" s="1">
        <v>6.7411494100000002</v>
      </c>
      <c r="X84" s="1">
        <v>2619.9115459999998</v>
      </c>
      <c r="Y84" s="1">
        <v>1.51354777</v>
      </c>
      <c r="Z84" s="1">
        <v>2617.2685940000001</v>
      </c>
      <c r="AA84" s="1">
        <v>2285.5574510000001</v>
      </c>
      <c r="AB84" s="1">
        <v>299.74631740000001</v>
      </c>
      <c r="AC84" s="1">
        <v>60.369849010000003</v>
      </c>
      <c r="AD84" s="1">
        <v>5157.8277269999999</v>
      </c>
      <c r="AE84" s="1">
        <v>452.47800519999998</v>
      </c>
      <c r="AF84" s="1">
        <v>110795.3342</v>
      </c>
      <c r="AG84" s="1">
        <v>744.7555883</v>
      </c>
      <c r="AH84" s="1">
        <v>236.0420379</v>
      </c>
      <c r="AI84" s="1">
        <v>0.27386470000000002</v>
      </c>
      <c r="AJ84" s="1">
        <v>48.764694159999998</v>
      </c>
      <c r="AK84" s="1">
        <v>244.1413957</v>
      </c>
      <c r="AL84" s="1">
        <v>237.73383999999999</v>
      </c>
      <c r="AM84" s="1">
        <v>53.166154919999997</v>
      </c>
      <c r="AN84" s="1">
        <v>12.42896824</v>
      </c>
      <c r="AO84" s="1">
        <v>57.64135177</v>
      </c>
      <c r="AP84" s="1">
        <v>15.052788809999999</v>
      </c>
      <c r="AQ84" s="1">
        <v>225.6999965</v>
      </c>
      <c r="AR84" s="1">
        <v>890.31649010000001</v>
      </c>
    </row>
    <row r="85" spans="1:44">
      <c r="A85" s="1">
        <v>2018</v>
      </c>
      <c r="B85" s="1" t="s">
        <v>44</v>
      </c>
      <c r="C85" s="1" t="s">
        <v>58</v>
      </c>
      <c r="D85" s="1">
        <v>11588</v>
      </c>
      <c r="E85" s="1">
        <v>16015.850329999999</v>
      </c>
      <c r="F85" s="1">
        <v>6421.5951279999999</v>
      </c>
      <c r="G85" s="1">
        <v>14226.3228</v>
      </c>
      <c r="H85" s="1">
        <v>404.26270269999998</v>
      </c>
      <c r="I85" s="1">
        <v>79.479608290000002</v>
      </c>
      <c r="J85" s="1">
        <v>0.22127269999999999</v>
      </c>
      <c r="K85" s="1">
        <v>324.5618217</v>
      </c>
      <c r="L85" s="1">
        <v>28.48627668</v>
      </c>
      <c r="M85" s="1">
        <v>25.849208099999998</v>
      </c>
      <c r="N85" s="1">
        <v>202.2153721</v>
      </c>
      <c r="O85" s="1">
        <v>1106.3019549999999</v>
      </c>
      <c r="P85" s="1">
        <v>71.697050860000004</v>
      </c>
      <c r="Q85" s="1">
        <v>59.103261089999997</v>
      </c>
      <c r="R85" s="1">
        <v>12.593789770000001</v>
      </c>
      <c r="S85" s="1">
        <v>0</v>
      </c>
      <c r="T85" s="1">
        <v>46.124698019999997</v>
      </c>
      <c r="U85" s="1">
        <v>14130.913070000001</v>
      </c>
      <c r="V85" s="1">
        <v>3765.733776</v>
      </c>
      <c r="W85" s="1">
        <v>10.83800783</v>
      </c>
      <c r="X85" s="1">
        <v>3754.8957679999999</v>
      </c>
      <c r="Y85" s="1">
        <v>2.1580289399999999</v>
      </c>
      <c r="Z85" s="1">
        <v>3753.1661530000001</v>
      </c>
      <c r="AA85" s="1">
        <v>3157.8698330000002</v>
      </c>
      <c r="AB85" s="1">
        <v>510.69254699999999</v>
      </c>
      <c r="AC85" s="1">
        <v>77.513616450000001</v>
      </c>
      <c r="AD85" s="1">
        <v>8013.4603989999996</v>
      </c>
      <c r="AE85" s="1">
        <v>2930.472581</v>
      </c>
      <c r="AF85" s="1">
        <v>179833.27789999999</v>
      </c>
      <c r="AG85" s="1">
        <v>1112.9633269999999</v>
      </c>
      <c r="AH85" s="1">
        <v>290.76388709999998</v>
      </c>
      <c r="AI85" s="1">
        <v>0.21959391</v>
      </c>
      <c r="AJ85" s="1">
        <v>55.390241600000003</v>
      </c>
      <c r="AK85" s="1">
        <v>267.85383130000002</v>
      </c>
      <c r="AL85" s="1">
        <v>251.2599974</v>
      </c>
      <c r="AM85" s="1">
        <v>59.96332743</v>
      </c>
      <c r="AN85" s="1">
        <v>12.891997809999999</v>
      </c>
      <c r="AO85" s="1">
        <v>71.030869809999999</v>
      </c>
      <c r="AP85" s="1">
        <v>9.9455516799999995</v>
      </c>
      <c r="AQ85" s="1">
        <v>384.69202259999997</v>
      </c>
      <c r="AR85" s="1">
        <v>1794.004862</v>
      </c>
    </row>
    <row r="86" spans="1:44">
      <c r="A86" s="1">
        <v>2018</v>
      </c>
      <c r="B86" s="1" t="s">
        <v>44</v>
      </c>
      <c r="C86" s="1" t="s">
        <v>59</v>
      </c>
      <c r="D86" s="1">
        <v>2218</v>
      </c>
      <c r="E86" s="1">
        <v>5707.6312809999999</v>
      </c>
      <c r="F86" s="1">
        <v>1978.486028</v>
      </c>
      <c r="G86" s="1">
        <v>4246.1238530000001</v>
      </c>
      <c r="H86" s="1">
        <v>117.6324437</v>
      </c>
      <c r="I86" s="1">
        <v>14.450261149999999</v>
      </c>
      <c r="J86" s="1">
        <v>0.13681787000000001</v>
      </c>
      <c r="K86" s="1">
        <v>103.04536469999999</v>
      </c>
      <c r="L86" s="1">
        <v>6.0357872400000003</v>
      </c>
      <c r="M86" s="1">
        <v>5.3184171100000004</v>
      </c>
      <c r="N86" s="1">
        <v>48.621167010000001</v>
      </c>
      <c r="O86" s="1">
        <v>627.67087549999997</v>
      </c>
      <c r="P86" s="1">
        <v>21.173577529999999</v>
      </c>
      <c r="Q86" s="1">
        <v>17.20833142</v>
      </c>
      <c r="R86" s="1">
        <v>3.9652461099999998</v>
      </c>
      <c r="S86" s="1">
        <v>0</v>
      </c>
      <c r="T86" s="1">
        <v>7.539453</v>
      </c>
      <c r="U86" s="1">
        <v>4873.6395590000002</v>
      </c>
      <c r="V86" s="1">
        <v>1317.2788989999999</v>
      </c>
      <c r="W86" s="1">
        <v>4.6247206800000003</v>
      </c>
      <c r="X86" s="1">
        <v>1312.6541790000001</v>
      </c>
      <c r="Y86" s="1">
        <v>0.48065660999999998</v>
      </c>
      <c r="Z86" s="1">
        <v>1312.233156</v>
      </c>
      <c r="AA86" s="1">
        <v>1090.980912</v>
      </c>
      <c r="AB86" s="1">
        <v>200.806365</v>
      </c>
      <c r="AC86" s="1">
        <v>22.419161939999999</v>
      </c>
      <c r="AD86" s="1">
        <v>3250.7666389999999</v>
      </c>
      <c r="AE86" s="1">
        <v>388.98893320000002</v>
      </c>
      <c r="AF86" s="1">
        <v>65691.095730000001</v>
      </c>
      <c r="AG86" s="1">
        <v>600.23490570000001</v>
      </c>
      <c r="AH86" s="1">
        <v>90.767513489999999</v>
      </c>
      <c r="AI86" s="1">
        <v>1.2306E-4</v>
      </c>
      <c r="AJ86" s="1">
        <v>15.75233263</v>
      </c>
      <c r="AK86" s="1">
        <v>66.747610480000006</v>
      </c>
      <c r="AL86" s="1">
        <v>61.800262510000003</v>
      </c>
      <c r="AM86" s="1">
        <v>17.23889054</v>
      </c>
      <c r="AN86" s="1">
        <v>3.97425111</v>
      </c>
      <c r="AO86" s="1">
        <v>25.176887730000001</v>
      </c>
      <c r="AP86" s="1">
        <v>5.4008537600000004</v>
      </c>
      <c r="AQ86" s="1">
        <v>172.8361008</v>
      </c>
      <c r="AR86" s="1">
        <v>542.75195350000001</v>
      </c>
    </row>
    <row r="87" spans="1:44">
      <c r="A87" s="1">
        <v>2018</v>
      </c>
      <c r="B87" s="1" t="s">
        <v>44</v>
      </c>
      <c r="C87" s="1" t="s">
        <v>60</v>
      </c>
      <c r="D87" s="1">
        <v>885</v>
      </c>
      <c r="E87" s="1">
        <v>3357.5580359999999</v>
      </c>
      <c r="F87" s="1">
        <v>845.14791119999995</v>
      </c>
      <c r="G87" s="1">
        <v>1909.293375</v>
      </c>
      <c r="H87" s="1">
        <v>83.643719540000006</v>
      </c>
      <c r="I87" s="1">
        <v>8.4448592300000005</v>
      </c>
      <c r="J87" s="1">
        <v>0.99789625000000004</v>
      </c>
      <c r="K87" s="1">
        <v>74.200964060000004</v>
      </c>
      <c r="L87" s="1">
        <v>2.4229601999999999</v>
      </c>
      <c r="M87" s="1">
        <v>2.0622599799999999</v>
      </c>
      <c r="N87" s="1">
        <v>22.428700630000002</v>
      </c>
      <c r="O87" s="1">
        <v>447.03795059999999</v>
      </c>
      <c r="P87" s="1">
        <v>12.82191328</v>
      </c>
      <c r="Q87" s="1">
        <v>7.9757108800000003</v>
      </c>
      <c r="R87" s="1">
        <v>4.8462024000000001</v>
      </c>
      <c r="S87" s="1">
        <v>0</v>
      </c>
      <c r="T87" s="1">
        <v>2.24508156</v>
      </c>
      <c r="U87" s="1">
        <v>2784.8954509999999</v>
      </c>
      <c r="V87" s="1">
        <v>756.66145619999998</v>
      </c>
      <c r="W87" s="1">
        <v>3.2116273</v>
      </c>
      <c r="X87" s="1">
        <v>753.44982890000006</v>
      </c>
      <c r="Y87" s="1">
        <v>1.7373400000000001E-2</v>
      </c>
      <c r="Z87" s="1">
        <v>753.082403</v>
      </c>
      <c r="AA87" s="1">
        <v>648.53209000000004</v>
      </c>
      <c r="AB87" s="1">
        <v>97.994285219999995</v>
      </c>
      <c r="AC87" s="1">
        <v>18.403008209999999</v>
      </c>
      <c r="AD87" s="1">
        <v>2313.8950629999999</v>
      </c>
      <c r="AE87" s="1">
        <v>179.37634840000001</v>
      </c>
      <c r="AF87" s="1">
        <v>31331.138780000001</v>
      </c>
      <c r="AG87" s="1">
        <v>139.5025105</v>
      </c>
      <c r="AH87" s="1">
        <v>67.587909969999998</v>
      </c>
      <c r="AI87" s="1">
        <v>0</v>
      </c>
      <c r="AJ87" s="1">
        <v>8.4269649900000001</v>
      </c>
      <c r="AK87" s="1">
        <v>28.69618148</v>
      </c>
      <c r="AL87" s="1">
        <v>28.36708337</v>
      </c>
      <c r="AM87" s="1">
        <v>7.9877940900000004</v>
      </c>
      <c r="AN87" s="1">
        <v>4.8462024000000001</v>
      </c>
      <c r="AO87" s="1">
        <v>12.924762279999999</v>
      </c>
      <c r="AP87" s="1">
        <v>0.10780000000000001</v>
      </c>
      <c r="AQ87" s="1">
        <v>73.493563710000004</v>
      </c>
      <c r="AR87" s="1">
        <v>195.40108620000001</v>
      </c>
    </row>
    <row r="88" spans="1:44">
      <c r="A88" s="1">
        <v>2018</v>
      </c>
      <c r="B88" s="1" t="s">
        <v>44</v>
      </c>
      <c r="C88" s="1" t="s">
        <v>61</v>
      </c>
      <c r="D88" s="1">
        <v>1443</v>
      </c>
      <c r="E88" s="1">
        <v>14363.307220000001</v>
      </c>
      <c r="F88" s="1">
        <v>4273.2371880000001</v>
      </c>
      <c r="G88" s="1">
        <v>9795.5650619999997</v>
      </c>
      <c r="H88" s="1">
        <v>344.78753999999998</v>
      </c>
      <c r="I88" s="1">
        <v>12.57952833</v>
      </c>
      <c r="J88" s="1">
        <v>6.5992000000000004E-4</v>
      </c>
      <c r="K88" s="1">
        <v>332.20735180000003</v>
      </c>
      <c r="L88" s="1">
        <v>4.5319593600000001</v>
      </c>
      <c r="M88" s="1">
        <v>4.1854467499999997</v>
      </c>
      <c r="N88" s="1">
        <v>46.462223989999998</v>
      </c>
      <c r="O88" s="1">
        <v>1756.294854</v>
      </c>
      <c r="P88" s="1">
        <v>29.565158289999999</v>
      </c>
      <c r="Q88" s="1">
        <v>22.224450529999999</v>
      </c>
      <c r="R88" s="1">
        <v>7.3398344299999998</v>
      </c>
      <c r="S88" s="1">
        <v>8.7332999999999996E-4</v>
      </c>
      <c r="T88" s="1">
        <v>3.2335876200000002</v>
      </c>
      <c r="U88" s="1">
        <v>12174.246450000001</v>
      </c>
      <c r="V88" s="1">
        <v>3332.9456479999999</v>
      </c>
      <c r="W88" s="1">
        <v>29.5213547</v>
      </c>
      <c r="X88" s="1">
        <v>3303.424293</v>
      </c>
      <c r="Y88" s="1">
        <v>8.2560300000000003E-2</v>
      </c>
      <c r="Z88" s="1">
        <v>3302.8134639999998</v>
      </c>
      <c r="AA88" s="1">
        <v>2848.4132669999999</v>
      </c>
      <c r="AB88" s="1">
        <v>400.19294250000002</v>
      </c>
      <c r="AC88" s="1">
        <v>67.404951109999999</v>
      </c>
      <c r="AD88" s="1">
        <v>7565.6332259999999</v>
      </c>
      <c r="AE88" s="1">
        <v>954.73191989999998</v>
      </c>
      <c r="AF88" s="1">
        <v>136967.45850000001</v>
      </c>
      <c r="AG88" s="1">
        <v>447.00671399999999</v>
      </c>
      <c r="AH88" s="1">
        <v>320.6660498</v>
      </c>
      <c r="AI88" s="1">
        <v>4.0334999999999998E-3</v>
      </c>
      <c r="AJ88" s="1">
        <v>20.976765</v>
      </c>
      <c r="AK88" s="1">
        <v>63.226779620000002</v>
      </c>
      <c r="AL88" s="1">
        <v>65.174216759999993</v>
      </c>
      <c r="AM88" s="1">
        <v>22.395313139999999</v>
      </c>
      <c r="AN88" s="1">
        <v>7.3398344299999998</v>
      </c>
      <c r="AO88" s="1">
        <v>35.407744770000001</v>
      </c>
      <c r="AP88" s="1">
        <v>5.3940416400000002</v>
      </c>
      <c r="AQ88" s="1">
        <v>480.93747610000003</v>
      </c>
      <c r="AR88" s="1">
        <v>1218.533633</v>
      </c>
    </row>
    <row r="89" spans="1:44">
      <c r="A89" s="1">
        <v>2018</v>
      </c>
      <c r="B89" s="1" t="s">
        <v>62</v>
      </c>
      <c r="C89" s="1" t="s">
        <v>45</v>
      </c>
      <c r="D89" s="1">
        <v>1175876</v>
      </c>
      <c r="E89" s="1">
        <v>2604.3615460000001</v>
      </c>
      <c r="F89" s="1">
        <v>9514.9498939999994</v>
      </c>
      <c r="G89" s="1">
        <v>64178.157899999998</v>
      </c>
      <c r="H89" s="1">
        <v>242.59633489999999</v>
      </c>
      <c r="I89" s="1">
        <v>228.78510069999999</v>
      </c>
      <c r="J89" s="1">
        <v>0.89754931999999998</v>
      </c>
      <c r="K89" s="1">
        <v>12.913684890000001</v>
      </c>
      <c r="L89" s="1">
        <v>133.62216419999999</v>
      </c>
      <c r="M89" s="1">
        <v>75.904098000000005</v>
      </c>
      <c r="N89" s="1">
        <v>1142.0479660000001</v>
      </c>
      <c r="O89" s="1">
        <v>163.49985369999999</v>
      </c>
      <c r="P89" s="1">
        <v>9.1712982800000002</v>
      </c>
      <c r="Q89" s="1">
        <v>6.8926631399999998</v>
      </c>
      <c r="R89" s="1">
        <v>0.68556539000000005</v>
      </c>
      <c r="S89" s="1">
        <v>1.59306975</v>
      </c>
      <c r="T89" s="1">
        <v>102.97552039999999</v>
      </c>
      <c r="U89" s="1">
        <v>734.54431039999997</v>
      </c>
      <c r="V89" s="1">
        <v>6.5781649999999997E-2</v>
      </c>
      <c r="W89" s="1">
        <v>0</v>
      </c>
      <c r="X89" s="1">
        <v>6.5781649999999997E-2</v>
      </c>
      <c r="Y89" s="1">
        <v>36.459432980000003</v>
      </c>
      <c r="Z89" s="1">
        <v>36.482379870000003</v>
      </c>
      <c r="AA89" s="1">
        <v>311.37166280000002</v>
      </c>
      <c r="AB89" s="1">
        <v>4.2227293799999996</v>
      </c>
      <c r="AC89" s="1">
        <v>279.70215969999998</v>
      </c>
      <c r="AD89" s="1">
        <v>27257.058870000001</v>
      </c>
      <c r="AE89" s="1">
        <v>11201.93527</v>
      </c>
      <c r="AF89" s="1">
        <v>374469.05229999998</v>
      </c>
      <c r="AG89" s="1">
        <v>4256.3576039999998</v>
      </c>
      <c r="AH89" s="1">
        <v>89.584939480000003</v>
      </c>
      <c r="AI89" s="1">
        <v>1.56747039</v>
      </c>
      <c r="AJ89" s="1">
        <v>25.057358019999999</v>
      </c>
      <c r="AK89" s="1">
        <v>552.07191279999995</v>
      </c>
      <c r="AL89" s="1">
        <v>3193.7578520000002</v>
      </c>
      <c r="AM89" s="1">
        <v>18.86820586</v>
      </c>
      <c r="AN89" s="1">
        <v>1.8687539500000001</v>
      </c>
      <c r="AO89" s="1">
        <v>505.8057877</v>
      </c>
      <c r="AP89" s="1">
        <v>9.7709202600000005</v>
      </c>
      <c r="AQ89" s="1">
        <v>1173.814329</v>
      </c>
      <c r="AR89" s="1">
        <v>3535.0357389999999</v>
      </c>
    </row>
    <row r="90" spans="1:44">
      <c r="A90" s="1">
        <v>2018</v>
      </c>
      <c r="B90" s="1" t="s">
        <v>62</v>
      </c>
      <c r="C90" s="1" t="s">
        <v>46</v>
      </c>
      <c r="D90" s="1">
        <v>731246</v>
      </c>
      <c r="E90" s="1">
        <v>9016.6665940000003</v>
      </c>
      <c r="F90" s="1">
        <v>2589.5049629999999</v>
      </c>
      <c r="G90" s="1">
        <v>24960.49885</v>
      </c>
      <c r="H90" s="1">
        <v>226.9550466</v>
      </c>
      <c r="I90" s="1">
        <v>215.7338364</v>
      </c>
      <c r="J90" s="1">
        <v>0.27028381000000001</v>
      </c>
      <c r="K90" s="1">
        <v>10.950926340000001</v>
      </c>
      <c r="L90" s="1">
        <v>136.45474820000001</v>
      </c>
      <c r="M90" s="1">
        <v>72.704878260000001</v>
      </c>
      <c r="N90" s="1">
        <v>713.22845540000003</v>
      </c>
      <c r="O90" s="1">
        <v>92.720942129999997</v>
      </c>
      <c r="P90" s="1">
        <v>3.4765093500000002</v>
      </c>
      <c r="Q90" s="1">
        <v>2.6712158700000002</v>
      </c>
      <c r="R90" s="1">
        <v>0.25769998</v>
      </c>
      <c r="S90" s="1">
        <v>0.54759349999999996</v>
      </c>
      <c r="T90" s="1">
        <v>1132.097943</v>
      </c>
      <c r="U90" s="1">
        <v>6639.0280700000003</v>
      </c>
      <c r="V90" s="1">
        <v>0.14308446999999999</v>
      </c>
      <c r="W90" s="1">
        <v>0</v>
      </c>
      <c r="X90" s="1">
        <v>0.14308446999999999</v>
      </c>
      <c r="Y90" s="1">
        <v>7.0884816300000004</v>
      </c>
      <c r="Z90" s="1">
        <v>7.23086377</v>
      </c>
      <c r="AA90" s="1">
        <v>87.222247769999996</v>
      </c>
      <c r="AB90" s="1">
        <v>0.42808109999999999</v>
      </c>
      <c r="AC90" s="1">
        <v>80.880419509999996</v>
      </c>
      <c r="AD90" s="1">
        <v>9300.0778350000001</v>
      </c>
      <c r="AE90" s="1">
        <v>2351.5771589999999</v>
      </c>
      <c r="AF90" s="1">
        <v>129327.9004</v>
      </c>
      <c r="AG90" s="1">
        <v>1216.8408939999999</v>
      </c>
      <c r="AH90" s="1">
        <v>38.109767179999999</v>
      </c>
      <c r="AI90" s="1">
        <v>1.1093308399999999</v>
      </c>
      <c r="AJ90" s="1">
        <v>9.3618732799999993</v>
      </c>
      <c r="AK90" s="1">
        <v>282.17200209999999</v>
      </c>
      <c r="AL90" s="1">
        <v>1142.381893</v>
      </c>
      <c r="AM90" s="1">
        <v>3.4951157899999998</v>
      </c>
      <c r="AN90" s="1">
        <v>0.29558331999999998</v>
      </c>
      <c r="AO90" s="1">
        <v>120.55640769999999</v>
      </c>
      <c r="AP90" s="1">
        <v>1.0522817600000001</v>
      </c>
      <c r="AQ90" s="1">
        <v>208.2947423</v>
      </c>
      <c r="AR90" s="1">
        <v>612.77753929999994</v>
      </c>
    </row>
    <row r="91" spans="1:44">
      <c r="A91" s="1">
        <v>2018</v>
      </c>
      <c r="B91" s="1" t="s">
        <v>62</v>
      </c>
      <c r="C91" s="1" t="s">
        <v>47</v>
      </c>
      <c r="D91" s="1">
        <v>2695955</v>
      </c>
      <c r="E91" s="1">
        <v>68300.521599999993</v>
      </c>
      <c r="F91" s="1">
        <v>8123.8327710000003</v>
      </c>
      <c r="G91" s="1">
        <v>44782.443930000001</v>
      </c>
      <c r="H91" s="1">
        <v>1669.8340579999999</v>
      </c>
      <c r="I91" s="1">
        <v>1597.247267</v>
      </c>
      <c r="J91" s="1">
        <v>2.0886779600000001</v>
      </c>
      <c r="K91" s="1">
        <v>70.498112309999996</v>
      </c>
      <c r="L91" s="1">
        <v>1365.466615</v>
      </c>
      <c r="M91" s="1">
        <v>832.35348929999998</v>
      </c>
      <c r="N91" s="1">
        <v>3571.807292</v>
      </c>
      <c r="O91" s="1">
        <v>464.93812279999997</v>
      </c>
      <c r="P91" s="1">
        <v>19.976396690000001</v>
      </c>
      <c r="Q91" s="1">
        <v>17.15926275</v>
      </c>
      <c r="R91" s="1">
        <v>1.37057914</v>
      </c>
      <c r="S91" s="1">
        <v>1.4465547999999999</v>
      </c>
      <c r="T91" s="1">
        <v>8687.5771580000001</v>
      </c>
      <c r="U91" s="1">
        <v>51688.568469999998</v>
      </c>
      <c r="V91" s="1">
        <v>0.99286216999999999</v>
      </c>
      <c r="W91" s="1">
        <v>1.228E-4</v>
      </c>
      <c r="X91" s="1">
        <v>0.99273937000000001</v>
      </c>
      <c r="Y91" s="1">
        <v>18.675119420000001</v>
      </c>
      <c r="Z91" s="1">
        <v>19.62932885</v>
      </c>
      <c r="AA91" s="1">
        <v>598.28347889999998</v>
      </c>
      <c r="AB91" s="1">
        <v>1.71758071</v>
      </c>
      <c r="AC91" s="1">
        <v>583.9096432</v>
      </c>
      <c r="AD91" s="1">
        <v>24306.791539999998</v>
      </c>
      <c r="AE91" s="1">
        <v>6015.5926010000003</v>
      </c>
      <c r="AF91" s="1">
        <v>334240.13740000001</v>
      </c>
      <c r="AG91" s="1">
        <v>2976.0044579999999</v>
      </c>
      <c r="AH91" s="1">
        <v>131.7535599</v>
      </c>
      <c r="AI91" s="1">
        <v>2.88222713</v>
      </c>
      <c r="AJ91" s="1">
        <v>34.627977229999999</v>
      </c>
      <c r="AK91" s="1">
        <v>1923.595106</v>
      </c>
      <c r="AL91" s="1">
        <v>5050.2507859999996</v>
      </c>
      <c r="AM91" s="1">
        <v>20.21073122</v>
      </c>
      <c r="AN91" s="1">
        <v>1.55745249</v>
      </c>
      <c r="AO91" s="1">
        <v>398.09530769999998</v>
      </c>
      <c r="AP91" s="1">
        <v>7.0757693899999996</v>
      </c>
      <c r="AQ91" s="1">
        <v>645.29975400000001</v>
      </c>
      <c r="AR91" s="1">
        <v>1618.6388360000001</v>
      </c>
    </row>
    <row r="92" spans="1:44">
      <c r="A92" s="1">
        <v>2018</v>
      </c>
      <c r="B92" s="1" t="s">
        <v>62</v>
      </c>
      <c r="C92" s="1" t="s">
        <v>48</v>
      </c>
      <c r="D92" s="1">
        <v>2904920</v>
      </c>
      <c r="E92" s="1">
        <v>108529.9592</v>
      </c>
      <c r="F92" s="1">
        <v>11764.5725</v>
      </c>
      <c r="G92" s="1">
        <v>31123.140510000001</v>
      </c>
      <c r="H92" s="1">
        <v>3604.1101290000001</v>
      </c>
      <c r="I92" s="1">
        <v>3427.8789160000001</v>
      </c>
      <c r="J92" s="1">
        <v>3.1239517000000001</v>
      </c>
      <c r="K92" s="1">
        <v>173.10726080000001</v>
      </c>
      <c r="L92" s="1">
        <v>2407.2666979999999</v>
      </c>
      <c r="M92" s="1">
        <v>1675.1044469999999</v>
      </c>
      <c r="N92" s="1">
        <v>5398.5671309999998</v>
      </c>
      <c r="O92" s="1">
        <v>608.44387210000002</v>
      </c>
      <c r="P92" s="1">
        <v>31.874299100000002</v>
      </c>
      <c r="Q92" s="1">
        <v>27.425667749999999</v>
      </c>
      <c r="R92" s="1">
        <v>3.5663232900000001</v>
      </c>
      <c r="S92" s="1">
        <v>0.88230805999999995</v>
      </c>
      <c r="T92" s="1">
        <v>13402.843150000001</v>
      </c>
      <c r="U92" s="1">
        <v>81401.74944</v>
      </c>
      <c r="V92" s="1">
        <v>1130.0593610000001</v>
      </c>
      <c r="W92" s="1">
        <v>8.8245320000000002E-2</v>
      </c>
      <c r="X92" s="1">
        <v>1129.9711159999999</v>
      </c>
      <c r="Y92" s="1">
        <v>18.685569220000001</v>
      </c>
      <c r="Z92" s="1">
        <v>1137.9725430000001</v>
      </c>
      <c r="AA92" s="1">
        <v>3778.8003389999999</v>
      </c>
      <c r="AB92" s="1">
        <v>219.54355240000001</v>
      </c>
      <c r="AC92" s="1">
        <v>2874.317063</v>
      </c>
      <c r="AD92" s="1">
        <v>24422.180469999999</v>
      </c>
      <c r="AE92" s="1">
        <v>4624.514381</v>
      </c>
      <c r="AF92" s="1">
        <v>270130.46130000002</v>
      </c>
      <c r="AG92" s="1">
        <v>2352.7896780000001</v>
      </c>
      <c r="AH92" s="1">
        <v>205.46015790000001</v>
      </c>
      <c r="AI92" s="1">
        <v>4.6585936700000001</v>
      </c>
      <c r="AJ92" s="1">
        <v>65.818357149999997</v>
      </c>
      <c r="AK92" s="1">
        <v>3450.3407529999999</v>
      </c>
      <c r="AL92" s="1">
        <v>6614.5572990000001</v>
      </c>
      <c r="AM92" s="1">
        <v>29.192213979999998</v>
      </c>
      <c r="AN92" s="1">
        <v>3.62820046</v>
      </c>
      <c r="AO92" s="1">
        <v>321.92874180000001</v>
      </c>
      <c r="AP92" s="1">
        <v>3.59093719</v>
      </c>
      <c r="AQ92" s="1">
        <v>839.15228890000003</v>
      </c>
      <c r="AR92" s="1">
        <v>959.19338679999998</v>
      </c>
    </row>
    <row r="93" spans="1:44">
      <c r="A93" s="1">
        <v>2018</v>
      </c>
      <c r="B93" s="1" t="s">
        <v>62</v>
      </c>
      <c r="C93" s="1" t="s">
        <v>49</v>
      </c>
      <c r="D93" s="1">
        <v>2772995</v>
      </c>
      <c r="E93" s="1">
        <v>160583.65900000001</v>
      </c>
      <c r="F93" s="1">
        <v>18185.02159</v>
      </c>
      <c r="G93" s="1">
        <v>41554.2935</v>
      </c>
      <c r="H93" s="1">
        <v>5501.0078199999998</v>
      </c>
      <c r="I93" s="1">
        <v>5101.0899149999996</v>
      </c>
      <c r="J93" s="1">
        <v>3.3971802499999999</v>
      </c>
      <c r="K93" s="1">
        <v>396.52072449999997</v>
      </c>
      <c r="L93" s="1">
        <v>2538.8300239999999</v>
      </c>
      <c r="M93" s="1">
        <v>2089.9161650000001</v>
      </c>
      <c r="N93" s="1">
        <v>7509.6675939999996</v>
      </c>
      <c r="O93" s="1">
        <v>907.49933269999997</v>
      </c>
      <c r="P93" s="1">
        <v>60.133770570000003</v>
      </c>
      <c r="Q93" s="1">
        <v>52.2260451</v>
      </c>
      <c r="R93" s="1">
        <v>7.0154495600000004</v>
      </c>
      <c r="S93" s="1">
        <v>0.89227590999999995</v>
      </c>
      <c r="T93" s="1">
        <v>19889.134480000001</v>
      </c>
      <c r="U93" s="1">
        <v>122087.46980000001</v>
      </c>
      <c r="V93" s="1">
        <v>7004.2572710000004</v>
      </c>
      <c r="W93" s="1">
        <v>1.1753669899999999</v>
      </c>
      <c r="X93" s="1">
        <v>7003.0819039999997</v>
      </c>
      <c r="Y93" s="1">
        <v>39.999183360000004</v>
      </c>
      <c r="Z93" s="1">
        <v>6988.9201089999997</v>
      </c>
      <c r="AA93" s="1">
        <v>9969.8837609999991</v>
      </c>
      <c r="AB93" s="1">
        <v>1304.2191479999999</v>
      </c>
      <c r="AC93" s="1">
        <v>4347.4854889999997</v>
      </c>
      <c r="AD93" s="1">
        <v>36775.319409999996</v>
      </c>
      <c r="AE93" s="1">
        <v>5133.1148240000002</v>
      </c>
      <c r="AF93" s="1">
        <v>387175.12560000003</v>
      </c>
      <c r="AG93" s="1">
        <v>3793.7798849999999</v>
      </c>
      <c r="AH93" s="1">
        <v>451.6560508</v>
      </c>
      <c r="AI93" s="1">
        <v>11.603244650000001</v>
      </c>
      <c r="AJ93" s="1">
        <v>144.23748090000001</v>
      </c>
      <c r="AK93" s="1">
        <v>4999.8437480000002</v>
      </c>
      <c r="AL93" s="1">
        <v>10077.05847</v>
      </c>
      <c r="AM93" s="1">
        <v>56.032615540000002</v>
      </c>
      <c r="AN93" s="1">
        <v>7.2019221</v>
      </c>
      <c r="AO93" s="1">
        <v>489.40628170000002</v>
      </c>
      <c r="AP93" s="1">
        <v>4.3834806500000001</v>
      </c>
      <c r="AQ93" s="1">
        <v>1323.016073</v>
      </c>
      <c r="AR93" s="1">
        <v>1716.109074</v>
      </c>
    </row>
    <row r="94" spans="1:44">
      <c r="A94" s="1">
        <v>2018</v>
      </c>
      <c r="B94" s="1" t="s">
        <v>62</v>
      </c>
      <c r="C94" s="1" t="s">
        <v>50</v>
      </c>
      <c r="D94" s="1">
        <v>1095197</v>
      </c>
      <c r="E94" s="1">
        <v>94964.062839999999</v>
      </c>
      <c r="F94" s="1">
        <v>11239.02677</v>
      </c>
      <c r="G94" s="1">
        <v>21897.945019999999</v>
      </c>
      <c r="H94" s="1">
        <v>3303.9957509999999</v>
      </c>
      <c r="I94" s="1">
        <v>2937.2126079999998</v>
      </c>
      <c r="J94" s="1">
        <v>1.8909869699999999</v>
      </c>
      <c r="K94" s="1">
        <v>364.89215669999999</v>
      </c>
      <c r="L94" s="1">
        <v>1089.6518410000001</v>
      </c>
      <c r="M94" s="1">
        <v>1038.8711450000001</v>
      </c>
      <c r="N94" s="1">
        <v>4456.3985540000003</v>
      </c>
      <c r="O94" s="1">
        <v>567.66370470000004</v>
      </c>
      <c r="P94" s="1">
        <v>47.134793119999998</v>
      </c>
      <c r="Q94" s="1">
        <v>41.178051250000003</v>
      </c>
      <c r="R94" s="1">
        <v>5.49467645</v>
      </c>
      <c r="S94" s="1">
        <v>0.46206542</v>
      </c>
      <c r="T94" s="1">
        <v>11144.07857</v>
      </c>
      <c r="U94" s="1">
        <v>73316.268479999999</v>
      </c>
      <c r="V94" s="1">
        <v>8738.7700920000007</v>
      </c>
      <c r="W94" s="1">
        <v>2.0922074099999999</v>
      </c>
      <c r="X94" s="1">
        <v>8736.6778849999992</v>
      </c>
      <c r="Y94" s="1">
        <v>26.041583719999998</v>
      </c>
      <c r="Z94" s="1">
        <v>8727.3593509999992</v>
      </c>
      <c r="AA94" s="1">
        <v>8881.8226290000002</v>
      </c>
      <c r="AB94" s="1">
        <v>1568.4687759999999</v>
      </c>
      <c r="AC94" s="1">
        <v>1787.106254</v>
      </c>
      <c r="AD94" s="1">
        <v>21460.698199999999</v>
      </c>
      <c r="AE94" s="1">
        <v>3130.4960110000002</v>
      </c>
      <c r="AF94" s="1">
        <v>226452.6085</v>
      </c>
      <c r="AG94" s="1">
        <v>2288.7195879999999</v>
      </c>
      <c r="AH94" s="1">
        <v>410.68245050000002</v>
      </c>
      <c r="AI94" s="1">
        <v>15.577046899999999</v>
      </c>
      <c r="AJ94" s="1">
        <v>124.5746795</v>
      </c>
      <c r="AK94" s="1">
        <v>2915.7567530000001</v>
      </c>
      <c r="AL94" s="1">
        <v>6201.073112</v>
      </c>
      <c r="AM94" s="1">
        <v>43.822208639999999</v>
      </c>
      <c r="AN94" s="1">
        <v>5.6557003100000003</v>
      </c>
      <c r="AO94" s="1">
        <v>352.96821629999999</v>
      </c>
      <c r="AP94" s="1">
        <v>3.72897246</v>
      </c>
      <c r="AQ94" s="1">
        <v>835.48202949999995</v>
      </c>
      <c r="AR94" s="1">
        <v>850.11896439999998</v>
      </c>
    </row>
    <row r="95" spans="1:44">
      <c r="A95" s="1">
        <v>2018</v>
      </c>
      <c r="B95" s="1" t="s">
        <v>62</v>
      </c>
      <c r="C95" s="1" t="s">
        <v>51</v>
      </c>
      <c r="D95" s="1">
        <v>752286</v>
      </c>
      <c r="E95" s="1">
        <v>88957.752250000005</v>
      </c>
      <c r="F95" s="1">
        <v>10658.64817</v>
      </c>
      <c r="G95" s="1">
        <v>19195.087909999998</v>
      </c>
      <c r="H95" s="1">
        <v>4081.7750940000001</v>
      </c>
      <c r="I95" s="1">
        <v>3479.3962959999999</v>
      </c>
      <c r="J95" s="1">
        <v>2.3083232200000001</v>
      </c>
      <c r="K95" s="1">
        <v>600.07047409999996</v>
      </c>
      <c r="L95" s="1">
        <v>859.14073550000001</v>
      </c>
      <c r="M95" s="1">
        <v>845.11339820000001</v>
      </c>
      <c r="N95" s="1">
        <v>4698.7275769999997</v>
      </c>
      <c r="O95" s="1">
        <v>546.88067650000005</v>
      </c>
      <c r="P95" s="1">
        <v>50.916128329999999</v>
      </c>
      <c r="Q95" s="1">
        <v>44.848462660000003</v>
      </c>
      <c r="R95" s="1">
        <v>5.6862339899999998</v>
      </c>
      <c r="S95" s="1">
        <v>0.38143168</v>
      </c>
      <c r="T95" s="1">
        <v>6226.6666889999997</v>
      </c>
      <c r="U95" s="1">
        <v>71648.531950000004</v>
      </c>
      <c r="V95" s="1">
        <v>11857.311170000001</v>
      </c>
      <c r="W95" s="1">
        <v>4.4359430199999998</v>
      </c>
      <c r="X95" s="1">
        <v>11852.87523</v>
      </c>
      <c r="Y95" s="1">
        <v>36.370252149999999</v>
      </c>
      <c r="Z95" s="1">
        <v>11845.427890000001</v>
      </c>
      <c r="AA95" s="1">
        <v>11210.8073</v>
      </c>
      <c r="AB95" s="1">
        <v>1797.9263550000001</v>
      </c>
      <c r="AC95" s="1">
        <v>1232.340655</v>
      </c>
      <c r="AD95" s="1">
        <v>19660.959309999998</v>
      </c>
      <c r="AE95" s="1">
        <v>2623.8921009999999</v>
      </c>
      <c r="AF95" s="1">
        <v>220245.6838</v>
      </c>
      <c r="AG95" s="1">
        <v>2498.0150910000002</v>
      </c>
      <c r="AH95" s="1">
        <v>584.78972959999999</v>
      </c>
      <c r="AI95" s="1">
        <v>35.404868710000002</v>
      </c>
      <c r="AJ95" s="1">
        <v>170.08394390000001</v>
      </c>
      <c r="AK95" s="1">
        <v>2580.3167010000002</v>
      </c>
      <c r="AL95" s="1">
        <v>5778.0918320000001</v>
      </c>
      <c r="AM95" s="1">
        <v>46.277997470000003</v>
      </c>
      <c r="AN95" s="1">
        <v>5.7752882100000003</v>
      </c>
      <c r="AO95" s="1">
        <v>311.92051789999999</v>
      </c>
      <c r="AP95" s="1">
        <v>2.50617146</v>
      </c>
      <c r="AQ95" s="1">
        <v>845.82803130000002</v>
      </c>
      <c r="AR95" s="1">
        <v>923.94961490000003</v>
      </c>
    </row>
    <row r="96" spans="1:44">
      <c r="A96" s="1">
        <v>2018</v>
      </c>
      <c r="B96" s="1" t="s">
        <v>62</v>
      </c>
      <c r="C96" s="1" t="s">
        <v>52</v>
      </c>
      <c r="D96" s="1">
        <v>512492</v>
      </c>
      <c r="E96" s="1">
        <v>84986.131710000001</v>
      </c>
      <c r="F96" s="1">
        <v>10750.88838</v>
      </c>
      <c r="G96" s="1">
        <v>19182.951359999999</v>
      </c>
      <c r="H96" s="1">
        <v>4912.3389200000001</v>
      </c>
      <c r="I96" s="1">
        <v>4009.0221510000001</v>
      </c>
      <c r="J96" s="1">
        <v>2.5590511</v>
      </c>
      <c r="K96" s="1">
        <v>900.75771789999999</v>
      </c>
      <c r="L96" s="1">
        <v>608.95928819999995</v>
      </c>
      <c r="M96" s="1">
        <v>608.55951749999997</v>
      </c>
      <c r="N96" s="1">
        <v>4509.1203219999998</v>
      </c>
      <c r="O96" s="1">
        <v>585.30566669999996</v>
      </c>
      <c r="P96" s="1">
        <v>48.901569960000003</v>
      </c>
      <c r="Q96" s="1">
        <v>43.85838914</v>
      </c>
      <c r="R96" s="1">
        <v>4.7391419900000002</v>
      </c>
      <c r="S96" s="1">
        <v>0.30403882999999998</v>
      </c>
      <c r="T96" s="1">
        <v>2882.6344600000002</v>
      </c>
      <c r="U96" s="1">
        <v>70830.311960000006</v>
      </c>
      <c r="V96" s="1">
        <v>14133.26123</v>
      </c>
      <c r="W96" s="1">
        <v>8.7404663300000003</v>
      </c>
      <c r="X96" s="1">
        <v>14124.520769999999</v>
      </c>
      <c r="Y96" s="1">
        <v>43.80517193</v>
      </c>
      <c r="Z96" s="1">
        <v>14111.629849999999</v>
      </c>
      <c r="AA96" s="1">
        <v>13228.095300000001</v>
      </c>
      <c r="AB96" s="1">
        <v>1707.321633</v>
      </c>
      <c r="AC96" s="1">
        <v>899.06202789999998</v>
      </c>
      <c r="AD96" s="1">
        <v>18500.32905</v>
      </c>
      <c r="AE96" s="1">
        <v>2888.3283369999999</v>
      </c>
      <c r="AF96" s="1">
        <v>231937.3688</v>
      </c>
      <c r="AG96" s="1">
        <v>3805.6826409999999</v>
      </c>
      <c r="AH96" s="1">
        <v>787.45062410000003</v>
      </c>
      <c r="AI96" s="1">
        <v>50.073447430000002</v>
      </c>
      <c r="AJ96" s="1">
        <v>210.05032990000001</v>
      </c>
      <c r="AK96" s="1">
        <v>2212.9926930000001</v>
      </c>
      <c r="AL96" s="1">
        <v>5092.6205479999999</v>
      </c>
      <c r="AM96" s="1">
        <v>44.618170429999999</v>
      </c>
      <c r="AN96" s="1">
        <v>4.8312811699999996</v>
      </c>
      <c r="AO96" s="1">
        <v>319.13934819999997</v>
      </c>
      <c r="AP96" s="1">
        <v>3.2208050099999999</v>
      </c>
      <c r="AQ96" s="1">
        <v>906.69811879999997</v>
      </c>
      <c r="AR96" s="1">
        <v>1564.6503720000001</v>
      </c>
    </row>
    <row r="97" spans="1:44">
      <c r="A97" s="1">
        <v>2018</v>
      </c>
      <c r="B97" s="1" t="s">
        <v>62</v>
      </c>
      <c r="C97" s="1" t="s">
        <v>53</v>
      </c>
      <c r="D97" s="1">
        <v>209957</v>
      </c>
      <c r="E97" s="1">
        <v>48707.532299999999</v>
      </c>
      <c r="F97" s="1">
        <v>6320.7617840000003</v>
      </c>
      <c r="G97" s="1">
        <v>10710.53962</v>
      </c>
      <c r="H97" s="1">
        <v>3317.572596</v>
      </c>
      <c r="I97" s="1">
        <v>2677.6124</v>
      </c>
      <c r="J97" s="1">
        <v>1.47774329</v>
      </c>
      <c r="K97" s="1">
        <v>638.4824529</v>
      </c>
      <c r="L97" s="1">
        <v>253.49851390000001</v>
      </c>
      <c r="M97" s="1">
        <v>256.47771899999998</v>
      </c>
      <c r="N97" s="1">
        <v>2478.1771079999999</v>
      </c>
      <c r="O97" s="1">
        <v>415.3208133</v>
      </c>
      <c r="P97" s="1">
        <v>30.495582509999998</v>
      </c>
      <c r="Q97" s="1">
        <v>27.925887159999998</v>
      </c>
      <c r="R97" s="1">
        <v>2.4189477699999999</v>
      </c>
      <c r="S97" s="1">
        <v>0.15074757999999999</v>
      </c>
      <c r="T97" s="1">
        <v>691.08301630000005</v>
      </c>
      <c r="U97" s="1">
        <v>41264.90696</v>
      </c>
      <c r="V97" s="1">
        <v>9158.2000210000006</v>
      </c>
      <c r="W97" s="1">
        <v>8.2115581199999994</v>
      </c>
      <c r="X97" s="1">
        <v>9149.9884629999997</v>
      </c>
      <c r="Y97" s="1">
        <v>34.04387595</v>
      </c>
      <c r="Z97" s="1">
        <v>9145.0055009999996</v>
      </c>
      <c r="AA97" s="1">
        <v>8667.5948979999994</v>
      </c>
      <c r="AB97" s="1">
        <v>887.47408800000005</v>
      </c>
      <c r="AC97" s="1">
        <v>453.7526828</v>
      </c>
      <c r="AD97" s="1">
        <v>10384.674929999999</v>
      </c>
      <c r="AE97" s="1">
        <v>1652.251141</v>
      </c>
      <c r="AF97" s="1">
        <v>145492.8836</v>
      </c>
      <c r="AG97" s="1">
        <v>2094.8575559999999</v>
      </c>
      <c r="AH97" s="1">
        <v>549.519814</v>
      </c>
      <c r="AI97" s="1">
        <v>23.341436999999999</v>
      </c>
      <c r="AJ97" s="1">
        <v>128.67312050000001</v>
      </c>
      <c r="AK97" s="1">
        <v>1113.409013</v>
      </c>
      <c r="AL97" s="1">
        <v>2680.5805180000002</v>
      </c>
      <c r="AM97" s="1">
        <v>28.212493330000001</v>
      </c>
      <c r="AN97" s="1">
        <v>2.4340007699999999</v>
      </c>
      <c r="AO97" s="1">
        <v>192.1904783</v>
      </c>
      <c r="AP97" s="1">
        <v>1.1409776700000001</v>
      </c>
      <c r="AQ97" s="1">
        <v>531.75876600000004</v>
      </c>
      <c r="AR97" s="1">
        <v>732.25976639999999</v>
      </c>
    </row>
    <row r="98" spans="1:44">
      <c r="A98" s="1">
        <v>2018</v>
      </c>
      <c r="B98" s="1" t="s">
        <v>62</v>
      </c>
      <c r="C98" s="1" t="s">
        <v>54</v>
      </c>
      <c r="D98" s="1">
        <v>171879</v>
      </c>
      <c r="E98" s="1">
        <v>55800.839050000002</v>
      </c>
      <c r="F98" s="1">
        <v>7487.9413759999998</v>
      </c>
      <c r="G98" s="1">
        <v>13951.925800000001</v>
      </c>
      <c r="H98" s="1">
        <v>4249.518607</v>
      </c>
      <c r="I98" s="1">
        <v>3485.9694639999998</v>
      </c>
      <c r="J98" s="1">
        <v>2.2530642300000001</v>
      </c>
      <c r="K98" s="1">
        <v>761.29607929999997</v>
      </c>
      <c r="L98" s="1">
        <v>210.33342110000001</v>
      </c>
      <c r="M98" s="1">
        <v>220.03033880000001</v>
      </c>
      <c r="N98" s="1">
        <v>2688.9277050000001</v>
      </c>
      <c r="O98" s="1">
        <v>558.92441440000005</v>
      </c>
      <c r="P98" s="1">
        <v>39.962354580000003</v>
      </c>
      <c r="Q98" s="1">
        <v>36.971355150000001</v>
      </c>
      <c r="R98" s="1">
        <v>2.95454763</v>
      </c>
      <c r="S98" s="1">
        <v>3.6451799999999999E-2</v>
      </c>
      <c r="T98" s="1">
        <v>343.96660020000002</v>
      </c>
      <c r="U98" s="1">
        <v>47489.175609999998</v>
      </c>
      <c r="V98" s="1">
        <v>11266.876050000001</v>
      </c>
      <c r="W98" s="1">
        <v>13.25493419</v>
      </c>
      <c r="X98" s="1">
        <v>11253.62112</v>
      </c>
      <c r="Y98" s="1">
        <v>63.370018559999998</v>
      </c>
      <c r="Z98" s="1">
        <v>11267.477269999999</v>
      </c>
      <c r="AA98" s="1">
        <v>10838.50758</v>
      </c>
      <c r="AB98" s="1">
        <v>883.26764849999995</v>
      </c>
      <c r="AC98" s="1">
        <v>504.44428779999998</v>
      </c>
      <c r="AD98" s="1">
        <v>11187.32332</v>
      </c>
      <c r="AE98" s="1">
        <v>2877.70496</v>
      </c>
      <c r="AF98" s="1">
        <v>180900.0324</v>
      </c>
      <c r="AG98" s="1">
        <v>2805.8580149999998</v>
      </c>
      <c r="AH98" s="1">
        <v>655.57518549999998</v>
      </c>
      <c r="AI98" s="1">
        <v>41.140148510000003</v>
      </c>
      <c r="AJ98" s="1">
        <v>134.00292730000001</v>
      </c>
      <c r="AK98" s="1">
        <v>1123.010888</v>
      </c>
      <c r="AL98" s="1">
        <v>2874.260417</v>
      </c>
      <c r="AM98" s="1">
        <v>37.275371040000003</v>
      </c>
      <c r="AN98" s="1">
        <v>2.95720451</v>
      </c>
      <c r="AO98" s="1">
        <v>197.90594960000001</v>
      </c>
      <c r="AP98" s="1">
        <v>2.0425392800000002</v>
      </c>
      <c r="AQ98" s="1">
        <v>844.80582519999996</v>
      </c>
      <c r="AR98" s="1">
        <v>1092.533005</v>
      </c>
    </row>
    <row r="99" spans="1:44">
      <c r="A99" s="1">
        <v>2018</v>
      </c>
      <c r="B99" s="1" t="s">
        <v>62</v>
      </c>
      <c r="C99" s="1" t="s">
        <v>55</v>
      </c>
      <c r="D99" s="1">
        <v>39426</v>
      </c>
      <c r="E99" s="1">
        <v>17451.73616</v>
      </c>
      <c r="F99" s="1">
        <v>2597.8898770000001</v>
      </c>
      <c r="G99" s="1">
        <v>5365.2415430000001</v>
      </c>
      <c r="H99" s="1">
        <v>1156.3489950000001</v>
      </c>
      <c r="I99" s="1">
        <v>885.74960109999995</v>
      </c>
      <c r="J99" s="1">
        <v>0.88501278999999999</v>
      </c>
      <c r="K99" s="1">
        <v>269.714381</v>
      </c>
      <c r="L99" s="1">
        <v>47.301188279999998</v>
      </c>
      <c r="M99" s="1">
        <v>51.485877760000001</v>
      </c>
      <c r="N99" s="1">
        <v>639.45339720000004</v>
      </c>
      <c r="O99" s="1">
        <v>318.50844139999998</v>
      </c>
      <c r="P99" s="1">
        <v>7.8782091999999997</v>
      </c>
      <c r="Q99" s="1">
        <v>7.1138419099999997</v>
      </c>
      <c r="R99" s="1">
        <v>0.73078765000000001</v>
      </c>
      <c r="S99" s="1">
        <v>3.3579640000000001E-2</v>
      </c>
      <c r="T99" s="1">
        <v>76.366281720000003</v>
      </c>
      <c r="U99" s="1">
        <v>15154.393770000001</v>
      </c>
      <c r="V99" s="1">
        <v>3756.3594859999998</v>
      </c>
      <c r="W99" s="1">
        <v>6.40007254</v>
      </c>
      <c r="X99" s="1">
        <v>3749.959413</v>
      </c>
      <c r="Y99" s="1">
        <v>17.039122160000002</v>
      </c>
      <c r="Z99" s="1">
        <v>3752.348336</v>
      </c>
      <c r="AA99" s="1">
        <v>3410.9279710000001</v>
      </c>
      <c r="AB99" s="1">
        <v>391.77942080000003</v>
      </c>
      <c r="AC99" s="1">
        <v>79.550780869999997</v>
      </c>
      <c r="AD99" s="1">
        <v>4052.3642629999999</v>
      </c>
      <c r="AE99" s="1">
        <v>965.3772543</v>
      </c>
      <c r="AF99" s="1">
        <v>69765.302020000003</v>
      </c>
      <c r="AG99" s="1">
        <v>1100.6295889999999</v>
      </c>
      <c r="AH99" s="1">
        <v>230.39794739999999</v>
      </c>
      <c r="AI99" s="1">
        <v>10.02059644</v>
      </c>
      <c r="AJ99" s="1">
        <v>51.008936490000004</v>
      </c>
      <c r="AK99" s="1">
        <v>312.69595900000002</v>
      </c>
      <c r="AL99" s="1">
        <v>692.12723640000002</v>
      </c>
      <c r="AM99" s="1">
        <v>7.1907054300000004</v>
      </c>
      <c r="AN99" s="1">
        <v>0.73078765000000001</v>
      </c>
      <c r="AO99" s="1">
        <v>81.572436190000005</v>
      </c>
      <c r="AP99" s="1">
        <v>0.85098043000000001</v>
      </c>
      <c r="AQ99" s="1">
        <v>214.59676110000001</v>
      </c>
      <c r="AR99" s="1">
        <v>561.67906949999997</v>
      </c>
    </row>
    <row r="100" spans="1:44">
      <c r="A100" s="1">
        <v>2018</v>
      </c>
      <c r="B100" s="1" t="s">
        <v>62</v>
      </c>
      <c r="C100" s="1" t="s">
        <v>56</v>
      </c>
      <c r="D100" s="1">
        <v>14575</v>
      </c>
      <c r="E100" s="1">
        <v>8944.4424579999995</v>
      </c>
      <c r="F100" s="1">
        <v>2255.7489049999999</v>
      </c>
      <c r="G100" s="1">
        <v>4389.8665019999999</v>
      </c>
      <c r="H100" s="1">
        <v>426.33844720000002</v>
      </c>
      <c r="I100" s="1">
        <v>260.65965060000002</v>
      </c>
      <c r="J100" s="1">
        <v>0.80144070000000001</v>
      </c>
      <c r="K100" s="1">
        <v>164.8773559</v>
      </c>
      <c r="L100" s="1">
        <v>17.22008052</v>
      </c>
      <c r="M100" s="1">
        <v>18.97535512</v>
      </c>
      <c r="N100" s="1">
        <v>252.79999620000001</v>
      </c>
      <c r="O100" s="1">
        <v>319.26465899999999</v>
      </c>
      <c r="P100" s="1">
        <v>3.5092607999999998</v>
      </c>
      <c r="Q100" s="1">
        <v>3.0965984600000001</v>
      </c>
      <c r="R100" s="1">
        <v>0.39367939000000002</v>
      </c>
      <c r="S100" s="1">
        <v>1.8982949999999998E-2</v>
      </c>
      <c r="T100" s="1">
        <v>41.684797920000001</v>
      </c>
      <c r="U100" s="1">
        <v>7864.6498609999999</v>
      </c>
      <c r="V100" s="1">
        <v>2010.8658049999999</v>
      </c>
      <c r="W100" s="1">
        <v>3.7839364299999998</v>
      </c>
      <c r="X100" s="1">
        <v>2007.0818690000001</v>
      </c>
      <c r="Y100" s="1">
        <v>6.4028759500000003</v>
      </c>
      <c r="Z100" s="1">
        <v>2007.633151</v>
      </c>
      <c r="AA100" s="1">
        <v>1734.3944429999999</v>
      </c>
      <c r="AB100" s="1">
        <v>281.84597539999999</v>
      </c>
      <c r="AC100" s="1">
        <v>35.803152150000003</v>
      </c>
      <c r="AD100" s="1">
        <v>1905.5452290000001</v>
      </c>
      <c r="AE100" s="1">
        <v>1266.604088</v>
      </c>
      <c r="AF100" s="1">
        <v>47822.989090000003</v>
      </c>
      <c r="AG100" s="1">
        <v>919.20959210000001</v>
      </c>
      <c r="AH100" s="1">
        <v>143.46036520000001</v>
      </c>
      <c r="AI100" s="1">
        <v>0.29750599</v>
      </c>
      <c r="AJ100" s="1">
        <v>32.99326885</v>
      </c>
      <c r="AK100" s="1">
        <v>141.3048033</v>
      </c>
      <c r="AL100" s="1">
        <v>289.38563240000002</v>
      </c>
      <c r="AM100" s="1">
        <v>3.1001544600000002</v>
      </c>
      <c r="AN100" s="1">
        <v>0.39367939000000002</v>
      </c>
      <c r="AO100" s="1">
        <v>60.167351269999997</v>
      </c>
      <c r="AP100" s="1">
        <v>1.3837065200000001</v>
      </c>
      <c r="AQ100" s="1">
        <v>374.04229400000003</v>
      </c>
      <c r="AR100" s="1">
        <v>918.52012879999995</v>
      </c>
    </row>
    <row r="101" spans="1:44">
      <c r="A101" s="1">
        <v>2018</v>
      </c>
      <c r="B101" s="1" t="s">
        <v>62</v>
      </c>
      <c r="C101" s="1" t="s">
        <v>57</v>
      </c>
      <c r="D101" s="1">
        <v>3295</v>
      </c>
      <c r="E101" s="1">
        <v>2942.07627</v>
      </c>
      <c r="F101" s="1">
        <v>972.28076439999995</v>
      </c>
      <c r="G101" s="1">
        <v>2527.2464890000001</v>
      </c>
      <c r="H101" s="1">
        <v>92.428414119999999</v>
      </c>
      <c r="I101" s="1">
        <v>38.072970730000002</v>
      </c>
      <c r="J101" s="1">
        <v>0.16041174</v>
      </c>
      <c r="K101" s="1">
        <v>54.195031649999997</v>
      </c>
      <c r="L101" s="1">
        <v>3.8676360000000001</v>
      </c>
      <c r="M101" s="1">
        <v>4.3921197599999999</v>
      </c>
      <c r="N101" s="1">
        <v>59.343770599999999</v>
      </c>
      <c r="O101" s="1">
        <v>198.48778340000001</v>
      </c>
      <c r="P101" s="1">
        <v>0.62981697000000003</v>
      </c>
      <c r="Q101" s="1">
        <v>0.57490646999999995</v>
      </c>
      <c r="R101" s="1">
        <v>2.4745619999999999E-2</v>
      </c>
      <c r="S101" s="1">
        <v>3.0164880000000002E-2</v>
      </c>
      <c r="T101" s="1">
        <v>12.381457259999999</v>
      </c>
      <c r="U101" s="1">
        <v>2570.5452719999998</v>
      </c>
      <c r="V101" s="1">
        <v>672.59237989999997</v>
      </c>
      <c r="W101" s="1">
        <v>1.49266068</v>
      </c>
      <c r="X101" s="1">
        <v>671.09971919999998</v>
      </c>
      <c r="Y101" s="1">
        <v>0.65049869000000005</v>
      </c>
      <c r="Z101" s="1">
        <v>670.45869100000004</v>
      </c>
      <c r="AA101" s="1">
        <v>548.68242540000006</v>
      </c>
      <c r="AB101" s="1">
        <v>117.2589954</v>
      </c>
      <c r="AC101" s="1">
        <v>10.96286323</v>
      </c>
      <c r="AD101" s="1">
        <v>699.53880500000002</v>
      </c>
      <c r="AE101" s="1">
        <v>573.40966270000001</v>
      </c>
      <c r="AF101" s="1">
        <v>24664.926149999999</v>
      </c>
      <c r="AG101" s="1">
        <v>338.17425800000001</v>
      </c>
      <c r="AH101" s="1">
        <v>49.402250209999998</v>
      </c>
      <c r="AI101" s="1">
        <v>2.1588619999999999E-2</v>
      </c>
      <c r="AJ101" s="1">
        <v>9.3923877999999998</v>
      </c>
      <c r="AK101" s="1">
        <v>39.28662121</v>
      </c>
      <c r="AL101" s="1">
        <v>69.015117520000004</v>
      </c>
      <c r="AM101" s="1">
        <v>0.57490646999999995</v>
      </c>
      <c r="AN101" s="1">
        <v>2.4745619999999999E-2</v>
      </c>
      <c r="AO101" s="1">
        <v>33.39534999</v>
      </c>
      <c r="AP101" s="1">
        <v>0.21346531999999999</v>
      </c>
      <c r="AQ101" s="1">
        <v>35.607017659999997</v>
      </c>
      <c r="AR101" s="1">
        <v>235.30531740000001</v>
      </c>
    </row>
    <row r="102" spans="1:44">
      <c r="A102" s="1">
        <v>2018</v>
      </c>
      <c r="B102" s="1" t="s">
        <v>62</v>
      </c>
      <c r="C102" s="1" t="s">
        <v>58</v>
      </c>
      <c r="D102" s="1">
        <v>2512</v>
      </c>
      <c r="E102" s="1">
        <v>3622.216402</v>
      </c>
      <c r="F102" s="1">
        <v>1117.632658</v>
      </c>
      <c r="G102" s="1">
        <v>2699.1023359999999</v>
      </c>
      <c r="H102" s="1">
        <v>73.672391140000002</v>
      </c>
      <c r="I102" s="1">
        <v>19.045948859999999</v>
      </c>
      <c r="J102" s="1">
        <v>1.5631499999999999E-3</v>
      </c>
      <c r="K102" s="1">
        <v>54.624879129999997</v>
      </c>
      <c r="L102" s="1">
        <v>3.0031056</v>
      </c>
      <c r="M102" s="1">
        <v>3.4264201600000002</v>
      </c>
      <c r="N102" s="1">
        <v>49.643637329999997</v>
      </c>
      <c r="O102" s="1">
        <v>432.05231309999999</v>
      </c>
      <c r="P102" s="1">
        <v>0.37148186</v>
      </c>
      <c r="Q102" s="1">
        <v>0.31713216</v>
      </c>
      <c r="R102" s="1">
        <v>5.4349700000000001E-2</v>
      </c>
      <c r="S102" s="1">
        <v>0</v>
      </c>
      <c r="T102" s="1">
        <v>10.87356666</v>
      </c>
      <c r="U102" s="1">
        <v>3049.1734860000001</v>
      </c>
      <c r="V102" s="1">
        <v>812.35148279999999</v>
      </c>
      <c r="W102" s="1">
        <v>2.13331275</v>
      </c>
      <c r="X102" s="1">
        <v>810.21817009999995</v>
      </c>
      <c r="Y102" s="1">
        <v>0.59278310999999995</v>
      </c>
      <c r="Z102" s="1">
        <v>809.72715049999999</v>
      </c>
      <c r="AA102" s="1">
        <v>632.64348900000005</v>
      </c>
      <c r="AB102" s="1">
        <v>165.50034059999999</v>
      </c>
      <c r="AC102" s="1">
        <v>12.75608667</v>
      </c>
      <c r="AD102" s="1">
        <v>1072.7282809999999</v>
      </c>
      <c r="AE102" s="1">
        <v>633.49494700000002</v>
      </c>
      <c r="AF102" s="1">
        <v>27296.597399999999</v>
      </c>
      <c r="AG102" s="1">
        <v>530.72421780000002</v>
      </c>
      <c r="AH102" s="1">
        <v>49.333055690000002</v>
      </c>
      <c r="AI102" s="1">
        <v>0</v>
      </c>
      <c r="AJ102" s="1">
        <v>8.87634276</v>
      </c>
      <c r="AK102" s="1">
        <v>34.599859539999997</v>
      </c>
      <c r="AL102" s="1">
        <v>59.818093519999998</v>
      </c>
      <c r="AM102" s="1">
        <v>0.31713216</v>
      </c>
      <c r="AN102" s="1">
        <v>5.4349700000000001E-2</v>
      </c>
      <c r="AO102" s="1">
        <v>29.05137143</v>
      </c>
      <c r="AP102" s="1">
        <v>0.45985777999999999</v>
      </c>
      <c r="AQ102" s="1">
        <v>73.105104229999995</v>
      </c>
      <c r="AR102" s="1">
        <v>341.38190129999998</v>
      </c>
    </row>
    <row r="103" spans="1:44">
      <c r="A103" s="1">
        <v>2018</v>
      </c>
      <c r="B103" s="1" t="s">
        <v>62</v>
      </c>
      <c r="C103" s="1" t="s">
        <v>59</v>
      </c>
      <c r="D103" s="1">
        <v>453</v>
      </c>
      <c r="E103" s="1">
        <v>1206.260395</v>
      </c>
      <c r="F103" s="1">
        <v>324.31524050000002</v>
      </c>
      <c r="G103" s="1">
        <v>1380.078751</v>
      </c>
      <c r="H103" s="1">
        <v>20.7828619</v>
      </c>
      <c r="I103" s="1">
        <v>2.3924414899999999</v>
      </c>
      <c r="J103" s="1">
        <v>1.42874E-3</v>
      </c>
      <c r="K103" s="1">
        <v>18.388991669999999</v>
      </c>
      <c r="L103" s="1">
        <v>0.54146903999999996</v>
      </c>
      <c r="M103" s="1">
        <v>0.60189349999999997</v>
      </c>
      <c r="N103" s="1">
        <v>9.8696883799999995</v>
      </c>
      <c r="O103" s="1">
        <v>182.26840569999999</v>
      </c>
      <c r="P103" s="1">
        <v>0</v>
      </c>
      <c r="Q103" s="1">
        <v>0</v>
      </c>
      <c r="R103" s="1">
        <v>0</v>
      </c>
      <c r="S103" s="1">
        <v>0</v>
      </c>
      <c r="T103" s="1">
        <v>2.1445555199999999</v>
      </c>
      <c r="U103" s="1">
        <v>990.05152129999999</v>
      </c>
      <c r="V103" s="1">
        <v>267.54614950000001</v>
      </c>
      <c r="W103" s="1">
        <v>0.95521650000000002</v>
      </c>
      <c r="X103" s="1">
        <v>266.59093300000001</v>
      </c>
      <c r="Y103" s="1">
        <v>2.250425E-2</v>
      </c>
      <c r="Z103" s="1">
        <v>266.41475609999998</v>
      </c>
      <c r="AA103" s="1">
        <v>198.3950284</v>
      </c>
      <c r="AB103" s="1">
        <v>64.279001570000005</v>
      </c>
      <c r="AC103" s="1">
        <v>3.4808993899999998</v>
      </c>
      <c r="AD103" s="1">
        <v>243.82109800000001</v>
      </c>
      <c r="AE103" s="1">
        <v>835.21885080000004</v>
      </c>
      <c r="AF103" s="1">
        <v>8907.0561780000007</v>
      </c>
      <c r="AG103" s="1">
        <v>110.5564468</v>
      </c>
      <c r="AH103" s="1">
        <v>21.02692433</v>
      </c>
      <c r="AI103" s="1">
        <v>0</v>
      </c>
      <c r="AJ103" s="1">
        <v>1.81144766</v>
      </c>
      <c r="AK103" s="1">
        <v>7.1397125700000004</v>
      </c>
      <c r="AL103" s="1">
        <v>11.566564319999999</v>
      </c>
      <c r="AM103" s="1">
        <v>0</v>
      </c>
      <c r="AN103" s="1">
        <v>0</v>
      </c>
      <c r="AO103" s="1">
        <v>4.7848978999999998</v>
      </c>
      <c r="AP103" s="1">
        <v>1.2940925999999999</v>
      </c>
      <c r="AQ103" s="1">
        <v>33.833574749999997</v>
      </c>
      <c r="AR103" s="1">
        <v>84.307004180000007</v>
      </c>
    </row>
    <row r="104" spans="1:44">
      <c r="A104" s="1">
        <v>2018</v>
      </c>
      <c r="B104" s="1" t="s">
        <v>62</v>
      </c>
      <c r="C104" s="1" t="s">
        <v>60</v>
      </c>
      <c r="D104" s="1">
        <v>152</v>
      </c>
      <c r="E104" s="1">
        <v>627.77329750000001</v>
      </c>
      <c r="F104" s="1">
        <v>63.86465664</v>
      </c>
      <c r="G104" s="1">
        <v>219.14005180000001</v>
      </c>
      <c r="H104" s="1">
        <v>9.1848895299999995</v>
      </c>
      <c r="I104" s="1">
        <v>1.30934062</v>
      </c>
      <c r="J104" s="1">
        <v>0.45546426000000001</v>
      </c>
      <c r="K104" s="1">
        <v>7.4200846499999997</v>
      </c>
      <c r="L104" s="1">
        <v>0.17518116</v>
      </c>
      <c r="M104" s="1">
        <v>0.1887595</v>
      </c>
      <c r="N104" s="1">
        <v>3.5774824000000001</v>
      </c>
      <c r="O104" s="1">
        <v>132.85422700000001</v>
      </c>
      <c r="P104" s="1">
        <v>0</v>
      </c>
      <c r="Q104" s="1">
        <v>0</v>
      </c>
      <c r="R104" s="1">
        <v>0</v>
      </c>
      <c r="S104" s="1">
        <v>0</v>
      </c>
      <c r="T104" s="1">
        <v>0.60315624000000001</v>
      </c>
      <c r="U104" s="1">
        <v>481.18960170000003</v>
      </c>
      <c r="V104" s="1">
        <v>130.7501207</v>
      </c>
      <c r="W104" s="1">
        <v>0.57817216999999999</v>
      </c>
      <c r="X104" s="1">
        <v>130.17194850000001</v>
      </c>
      <c r="Y104" s="1">
        <v>1.9038E-3</v>
      </c>
      <c r="Z104" s="1">
        <v>130.10509429999999</v>
      </c>
      <c r="AA104" s="1">
        <v>104.4010317</v>
      </c>
      <c r="AB104" s="1">
        <v>21.406639380000001</v>
      </c>
      <c r="AC104" s="1">
        <v>2.4474554799999999</v>
      </c>
      <c r="AD104" s="1">
        <v>124.9526546</v>
      </c>
      <c r="AE104" s="1">
        <v>65.170701089999994</v>
      </c>
      <c r="AF104" s="1">
        <v>2606.8699299999998</v>
      </c>
      <c r="AG104" s="1">
        <v>48.664236240000001</v>
      </c>
      <c r="AH104" s="1">
        <v>6.4972197500000002</v>
      </c>
      <c r="AI104" s="1">
        <v>0</v>
      </c>
      <c r="AJ104" s="1">
        <v>1.1826975</v>
      </c>
      <c r="AK104" s="1">
        <v>2.41813228</v>
      </c>
      <c r="AL104" s="1">
        <v>4.1730899800000003</v>
      </c>
      <c r="AM104" s="1">
        <v>0</v>
      </c>
      <c r="AN104" s="1">
        <v>0</v>
      </c>
      <c r="AO104" s="1">
        <v>2.0160086399999999</v>
      </c>
      <c r="AP104" s="1">
        <v>0</v>
      </c>
      <c r="AQ104" s="1">
        <v>6.0396437699999996</v>
      </c>
      <c r="AR104" s="1">
        <v>30.643382070000001</v>
      </c>
    </row>
    <row r="105" spans="1:44">
      <c r="A105" s="1">
        <v>2018</v>
      </c>
      <c r="B105" s="1" t="s">
        <v>62</v>
      </c>
      <c r="C105" s="1" t="s">
        <v>61</v>
      </c>
      <c r="D105" s="1">
        <v>206</v>
      </c>
      <c r="E105" s="1">
        <v>1989.6524910000001</v>
      </c>
      <c r="F105" s="1">
        <v>380.23040730000002</v>
      </c>
      <c r="G105" s="1">
        <v>517.70976329999996</v>
      </c>
      <c r="H105" s="1">
        <v>31.912558570000002</v>
      </c>
      <c r="I105" s="1">
        <v>8.90676165</v>
      </c>
      <c r="J105" s="1">
        <v>0</v>
      </c>
      <c r="K105" s="1">
        <v>23.005796920000002</v>
      </c>
      <c r="L105" s="1">
        <v>0.24343355999999999</v>
      </c>
      <c r="M105" s="1">
        <v>0.27250632000000002</v>
      </c>
      <c r="N105" s="1">
        <v>6.0882480299999999</v>
      </c>
      <c r="O105" s="1">
        <v>440.33528960000001</v>
      </c>
      <c r="P105" s="1">
        <v>0</v>
      </c>
      <c r="Q105" s="1">
        <v>0</v>
      </c>
      <c r="R105" s="1">
        <v>0</v>
      </c>
      <c r="S105" s="1">
        <v>0</v>
      </c>
      <c r="T105" s="1">
        <v>0.56964756000000005</v>
      </c>
      <c r="U105" s="1">
        <v>1510.2308069999999</v>
      </c>
      <c r="V105" s="1">
        <v>413.1678905</v>
      </c>
      <c r="W105" s="1">
        <v>2.8688842000000001</v>
      </c>
      <c r="X105" s="1">
        <v>410.29900629999997</v>
      </c>
      <c r="Y105" s="1">
        <v>2.30219E-3</v>
      </c>
      <c r="Z105" s="1">
        <v>410.20700190000002</v>
      </c>
      <c r="AA105" s="1">
        <v>278.97759189999999</v>
      </c>
      <c r="AB105" s="1">
        <v>71.196043560000007</v>
      </c>
      <c r="AC105" s="1">
        <v>5.1185506900000002</v>
      </c>
      <c r="AD105" s="1">
        <v>248.60684900000001</v>
      </c>
      <c r="AE105" s="1">
        <v>82.183456980000003</v>
      </c>
      <c r="AF105" s="1">
        <v>11033.390310000001</v>
      </c>
      <c r="AG105" s="1">
        <v>161.63188840000001</v>
      </c>
      <c r="AH105" s="1">
        <v>22.800558599999999</v>
      </c>
      <c r="AI105" s="1">
        <v>0</v>
      </c>
      <c r="AJ105" s="1">
        <v>1.3656297799999999</v>
      </c>
      <c r="AK105" s="1">
        <v>3.3170736199999999</v>
      </c>
      <c r="AL105" s="1">
        <v>7.2948795100000003</v>
      </c>
      <c r="AM105" s="1">
        <v>0</v>
      </c>
      <c r="AN105" s="1">
        <v>0</v>
      </c>
      <c r="AO105" s="1">
        <v>8.7991959200000007</v>
      </c>
      <c r="AP105" s="1">
        <v>0</v>
      </c>
      <c r="AQ105" s="1">
        <v>58.720447729999997</v>
      </c>
      <c r="AR105" s="1">
        <v>87.707248140000004</v>
      </c>
    </row>
    <row r="106" spans="1:44">
      <c r="A106" s="1">
        <v>2018</v>
      </c>
      <c r="B106" s="1" t="s">
        <v>63</v>
      </c>
      <c r="C106" s="1" t="s">
        <v>64</v>
      </c>
      <c r="D106" s="1">
        <v>2800</v>
      </c>
      <c r="E106" s="1">
        <v>160.3842252</v>
      </c>
      <c r="F106" s="1">
        <v>17.251962670000001</v>
      </c>
      <c r="G106" s="1">
        <v>49.226766730000001</v>
      </c>
      <c r="H106" s="1">
        <v>7.4094094500000001</v>
      </c>
      <c r="I106" s="1">
        <v>6.4992210400000001</v>
      </c>
      <c r="J106" s="1">
        <v>9.6936100000000001E-3</v>
      </c>
      <c r="K106" s="1">
        <v>0.90049480000000004</v>
      </c>
      <c r="L106" s="1">
        <v>3.6905968699999998</v>
      </c>
      <c r="M106" s="1">
        <v>2.3401013000000002</v>
      </c>
      <c r="N106" s="1">
        <v>7.22101623</v>
      </c>
      <c r="O106" s="1">
        <v>0.91197919000000005</v>
      </c>
      <c r="P106" s="1">
        <v>2.1464547600000001</v>
      </c>
      <c r="Q106" s="1">
        <v>1.9772142500000001</v>
      </c>
      <c r="R106" s="1">
        <v>0.16924051000000001</v>
      </c>
      <c r="S106" s="1">
        <v>0</v>
      </c>
      <c r="T106" s="1">
        <v>12.99646435</v>
      </c>
      <c r="U106" s="1">
        <v>123.66820300000001</v>
      </c>
      <c r="V106" s="1">
        <v>14.00521105</v>
      </c>
      <c r="W106" s="1">
        <v>9.2716999999999995E-4</v>
      </c>
      <c r="X106" s="1">
        <v>14.004283879999999</v>
      </c>
      <c r="Y106" s="1">
        <v>3.0415890000000001E-2</v>
      </c>
      <c r="Z106" s="1">
        <v>14.001498160000001</v>
      </c>
      <c r="AA106" s="1">
        <v>14.8790926</v>
      </c>
      <c r="AB106" s="1">
        <v>1.4817939600000001</v>
      </c>
      <c r="AC106" s="1">
        <v>2.4701787099999999</v>
      </c>
      <c r="AD106" s="1">
        <v>28.8776379</v>
      </c>
      <c r="AE106" s="1">
        <v>2.73721835</v>
      </c>
      <c r="AF106" s="1">
        <v>496.2135586</v>
      </c>
      <c r="AG106" s="1">
        <v>2.54163951</v>
      </c>
      <c r="AH106" s="1">
        <v>0.72545559999999998</v>
      </c>
      <c r="AI106" s="1">
        <v>2.9036999999999999E-3</v>
      </c>
      <c r="AJ106" s="1">
        <v>0.30260740000000003</v>
      </c>
      <c r="AK106" s="1">
        <v>5.1384766800000001</v>
      </c>
      <c r="AL106" s="1">
        <v>11.89120715</v>
      </c>
      <c r="AM106" s="1">
        <v>2.0465784999999999</v>
      </c>
      <c r="AN106" s="1">
        <v>0.17699317000000001</v>
      </c>
      <c r="AO106" s="1">
        <v>0.55390147000000001</v>
      </c>
      <c r="AP106" s="1">
        <v>0.03</v>
      </c>
      <c r="AQ106" s="1">
        <v>0.79712967000000001</v>
      </c>
      <c r="AR106" s="1">
        <v>0.76076001000000004</v>
      </c>
    </row>
    <row r="107" spans="1:44">
      <c r="A107" s="1">
        <v>2017</v>
      </c>
      <c r="B107" s="1" t="s">
        <v>44</v>
      </c>
      <c r="C107" s="1" t="s">
        <v>45</v>
      </c>
      <c r="D107" s="1">
        <v>1681413</v>
      </c>
      <c r="E107" s="1">
        <v>4242.4600090000004</v>
      </c>
      <c r="F107" s="1">
        <v>17688.557219999999</v>
      </c>
      <c r="G107" s="1">
        <v>117046.8037</v>
      </c>
      <c r="H107" s="1">
        <v>510.12964959999999</v>
      </c>
      <c r="I107" s="1">
        <v>474.47736190000001</v>
      </c>
      <c r="J107" s="1">
        <v>1.90129054</v>
      </c>
      <c r="K107" s="1">
        <v>33.750997179999999</v>
      </c>
      <c r="L107" s="1">
        <v>482.85911759999999</v>
      </c>
      <c r="M107" s="1">
        <v>143.1014945</v>
      </c>
      <c r="N107" s="1">
        <v>1315.338301</v>
      </c>
      <c r="O107" s="1">
        <v>156.6293613</v>
      </c>
      <c r="P107" s="1">
        <v>532.44096930000001</v>
      </c>
      <c r="Q107" s="1">
        <v>454.46803039999998</v>
      </c>
      <c r="R107" s="1">
        <v>77.106716449999993</v>
      </c>
      <c r="S107" s="1">
        <v>0.86622237000000002</v>
      </c>
      <c r="T107" s="1">
        <v>132.27318399999999</v>
      </c>
      <c r="U107" s="1">
        <v>969.68793159999996</v>
      </c>
      <c r="V107" s="1">
        <v>0.20952026000000001</v>
      </c>
      <c r="W107" s="1">
        <v>0</v>
      </c>
      <c r="X107" s="1">
        <v>0.20952026000000001</v>
      </c>
      <c r="Y107" s="1">
        <v>78.010180340000005</v>
      </c>
      <c r="Z107" s="1">
        <v>78.039745269999997</v>
      </c>
      <c r="AA107" s="1">
        <v>10996.0232</v>
      </c>
      <c r="AB107" s="1">
        <v>11.192656449999999</v>
      </c>
      <c r="AC107" s="1">
        <v>10928.38499</v>
      </c>
      <c r="AD107" s="1">
        <v>116848.40489999999</v>
      </c>
      <c r="AE107" s="1">
        <v>24940.494040000001</v>
      </c>
      <c r="AF107" s="1">
        <v>836452.93169999996</v>
      </c>
      <c r="AG107" s="1">
        <v>6337.1036599999998</v>
      </c>
      <c r="AH107" s="1">
        <v>263.59418570000003</v>
      </c>
      <c r="AI107" s="1">
        <v>1.97446933</v>
      </c>
      <c r="AJ107" s="1">
        <v>83.452584259999995</v>
      </c>
      <c r="AK107" s="1">
        <v>1144.4525659999999</v>
      </c>
      <c r="AL107" s="1">
        <v>4230.1134380000003</v>
      </c>
      <c r="AM107" s="1">
        <v>1267.2614599999999</v>
      </c>
      <c r="AN107" s="1">
        <v>207.1554146</v>
      </c>
      <c r="AO107" s="1">
        <v>733.0124836</v>
      </c>
      <c r="AP107" s="1">
        <v>50.052040329999997</v>
      </c>
      <c r="AQ107" s="1">
        <v>1918.4966469999999</v>
      </c>
      <c r="AR107" s="1">
        <v>5288.682597</v>
      </c>
    </row>
    <row r="108" spans="1:44">
      <c r="A108" s="1">
        <v>2017</v>
      </c>
      <c r="B108" s="1" t="s">
        <v>44</v>
      </c>
      <c r="C108" s="1" t="s">
        <v>46</v>
      </c>
      <c r="D108" s="1">
        <v>952590</v>
      </c>
      <c r="E108" s="1">
        <v>11680.53644</v>
      </c>
      <c r="F108" s="1">
        <v>5523.0725050000001</v>
      </c>
      <c r="G108" s="1">
        <v>47198.121930000001</v>
      </c>
      <c r="H108" s="1">
        <v>335.06927339999999</v>
      </c>
      <c r="I108" s="1">
        <v>315.96167559999998</v>
      </c>
      <c r="J108" s="1">
        <v>0.61672234000000004</v>
      </c>
      <c r="K108" s="1">
        <v>18.490875450000001</v>
      </c>
      <c r="L108" s="1">
        <v>385.00951329999998</v>
      </c>
      <c r="M108" s="1">
        <v>99.620164040000006</v>
      </c>
      <c r="N108" s="1">
        <v>659.27097960000003</v>
      </c>
      <c r="O108" s="1">
        <v>77.039314579999996</v>
      </c>
      <c r="P108" s="1">
        <v>192.80027469999999</v>
      </c>
      <c r="Q108" s="1">
        <v>169.1099184</v>
      </c>
      <c r="R108" s="1">
        <v>23.02693433</v>
      </c>
      <c r="S108" s="1">
        <v>0.66342190999999995</v>
      </c>
      <c r="T108" s="1">
        <v>1466.5530650000001</v>
      </c>
      <c r="U108" s="1">
        <v>8465.1738580000001</v>
      </c>
      <c r="V108" s="1">
        <v>0.31480548000000003</v>
      </c>
      <c r="W108" s="1">
        <v>0</v>
      </c>
      <c r="X108" s="1">
        <v>0.31480548000000003</v>
      </c>
      <c r="Y108" s="1">
        <v>14.992334319999999</v>
      </c>
      <c r="Z108" s="1">
        <v>15.26644415</v>
      </c>
      <c r="AA108" s="1">
        <v>113.8122968</v>
      </c>
      <c r="AB108" s="1">
        <v>1.7298046199999999</v>
      </c>
      <c r="AC108" s="1">
        <v>100.7324878</v>
      </c>
      <c r="AD108" s="1">
        <v>20510.67556</v>
      </c>
      <c r="AE108" s="1">
        <v>2260.169562</v>
      </c>
      <c r="AF108" s="1">
        <v>277515.40360000002</v>
      </c>
      <c r="AG108" s="1">
        <v>2064.257341</v>
      </c>
      <c r="AH108" s="1">
        <v>65.874802579999994</v>
      </c>
      <c r="AI108" s="1">
        <v>1.2011864400000001</v>
      </c>
      <c r="AJ108" s="1">
        <v>16.9773523</v>
      </c>
      <c r="AK108" s="1">
        <v>400.44269120000001</v>
      </c>
      <c r="AL108" s="1">
        <v>1029.6977039999999</v>
      </c>
      <c r="AM108" s="1">
        <v>232.82784789999999</v>
      </c>
      <c r="AN108" s="1">
        <v>34.431477119999997</v>
      </c>
      <c r="AO108" s="1">
        <v>176.34028530000001</v>
      </c>
      <c r="AP108" s="1">
        <v>13.63915922</v>
      </c>
      <c r="AQ108" s="1">
        <v>412.98346379999998</v>
      </c>
      <c r="AR108" s="1">
        <v>1103.8292220000001</v>
      </c>
    </row>
    <row r="109" spans="1:44">
      <c r="A109" s="1">
        <v>2017</v>
      </c>
      <c r="B109" s="1" t="s">
        <v>44</v>
      </c>
      <c r="C109" s="1" t="s">
        <v>47</v>
      </c>
      <c r="D109" s="1">
        <v>3064495</v>
      </c>
      <c r="E109" s="1">
        <v>77521.993159999998</v>
      </c>
      <c r="F109" s="1">
        <v>12454.050670000001</v>
      </c>
      <c r="G109" s="1">
        <v>70119.650599999994</v>
      </c>
      <c r="H109" s="1">
        <v>2621.2266530000002</v>
      </c>
      <c r="I109" s="1">
        <v>2498.7231769999999</v>
      </c>
      <c r="J109" s="1">
        <v>4.2226952999999998</v>
      </c>
      <c r="K109" s="1">
        <v>118.2807806</v>
      </c>
      <c r="L109" s="1">
        <v>3465.010542</v>
      </c>
      <c r="M109" s="1">
        <v>983.45609420000005</v>
      </c>
      <c r="N109" s="1">
        <v>3106.8474959999999</v>
      </c>
      <c r="O109" s="1">
        <v>358.28417300000001</v>
      </c>
      <c r="P109" s="1">
        <v>1215.196138</v>
      </c>
      <c r="Q109" s="1">
        <v>1099.4956569999999</v>
      </c>
      <c r="R109" s="1">
        <v>112.6761029</v>
      </c>
      <c r="S109" s="1">
        <v>3.02437822</v>
      </c>
      <c r="T109" s="1">
        <v>8788.3894529999998</v>
      </c>
      <c r="U109" s="1">
        <v>56983.582609999998</v>
      </c>
      <c r="V109" s="1">
        <v>1.6305009399999999</v>
      </c>
      <c r="W109" s="1">
        <v>8.0569999999999996E-5</v>
      </c>
      <c r="X109" s="1">
        <v>1.63042037</v>
      </c>
      <c r="Y109" s="1">
        <v>33.632770809999997</v>
      </c>
      <c r="Z109" s="1">
        <v>35.242554220000002</v>
      </c>
      <c r="AA109" s="1">
        <v>2280.2854130000001</v>
      </c>
      <c r="AB109" s="1">
        <v>3.2689076400000001</v>
      </c>
      <c r="AC109" s="1">
        <v>2251.3188100000002</v>
      </c>
      <c r="AD109" s="1">
        <v>41787.744200000001</v>
      </c>
      <c r="AE109" s="1">
        <v>4221.7320879999997</v>
      </c>
      <c r="AF109" s="1">
        <v>622274.28449999995</v>
      </c>
      <c r="AG109" s="1">
        <v>3959.3566689999998</v>
      </c>
      <c r="AH109" s="1">
        <v>195.03810580000001</v>
      </c>
      <c r="AI109" s="1">
        <v>2.4129805100000001</v>
      </c>
      <c r="AJ109" s="1">
        <v>66.264318639999999</v>
      </c>
      <c r="AK109" s="1">
        <v>2090.5223970000002</v>
      </c>
      <c r="AL109" s="1">
        <v>4122.8115580000003</v>
      </c>
      <c r="AM109" s="1">
        <v>1238.6922529999999</v>
      </c>
      <c r="AN109" s="1">
        <v>136.2053282</v>
      </c>
      <c r="AO109" s="1">
        <v>437.95170450000001</v>
      </c>
      <c r="AP109" s="1">
        <v>22.888029979999999</v>
      </c>
      <c r="AQ109" s="1">
        <v>934.87276280000003</v>
      </c>
      <c r="AR109" s="1">
        <v>2719.670267</v>
      </c>
    </row>
    <row r="110" spans="1:44">
      <c r="A110" s="1">
        <v>2017</v>
      </c>
      <c r="B110" s="1" t="s">
        <v>44</v>
      </c>
      <c r="C110" s="1" t="s">
        <v>48</v>
      </c>
      <c r="D110" s="1">
        <v>4625671</v>
      </c>
      <c r="E110" s="1">
        <v>169393.2438</v>
      </c>
      <c r="F110" s="1">
        <v>19870.29795</v>
      </c>
      <c r="G110" s="1">
        <v>59546.20132</v>
      </c>
      <c r="H110" s="1">
        <v>7145.7776700000004</v>
      </c>
      <c r="I110" s="1">
        <v>6763.063056</v>
      </c>
      <c r="J110" s="1">
        <v>7.21355697</v>
      </c>
      <c r="K110" s="1">
        <v>375.50105710000003</v>
      </c>
      <c r="L110" s="1">
        <v>7076.0925960000004</v>
      </c>
      <c r="M110" s="1">
        <v>2925.4689960000001</v>
      </c>
      <c r="N110" s="1">
        <v>6384.9858960000001</v>
      </c>
      <c r="O110" s="1">
        <v>866.20509960000004</v>
      </c>
      <c r="P110" s="1">
        <v>2084.0290799999998</v>
      </c>
      <c r="Q110" s="1">
        <v>1887.174788</v>
      </c>
      <c r="R110" s="1">
        <v>194.48828940000001</v>
      </c>
      <c r="S110" s="1">
        <v>2.3660026099999998</v>
      </c>
      <c r="T110" s="1">
        <v>18706.19671</v>
      </c>
      <c r="U110" s="1">
        <v>124204.4878</v>
      </c>
      <c r="V110" s="1">
        <v>1398.0279499999999</v>
      </c>
      <c r="W110" s="1">
        <v>9.5782110000000004E-2</v>
      </c>
      <c r="X110" s="1">
        <v>1397.932168</v>
      </c>
      <c r="Y110" s="1">
        <v>37.538497739999997</v>
      </c>
      <c r="Z110" s="1">
        <v>1429.7233819999999</v>
      </c>
      <c r="AA110" s="1">
        <v>3354.7435850000002</v>
      </c>
      <c r="AB110" s="1">
        <v>236.7849152</v>
      </c>
      <c r="AC110" s="1">
        <v>2173.8944099999999</v>
      </c>
      <c r="AD110" s="1">
        <v>90798.106599999999</v>
      </c>
      <c r="AE110" s="1">
        <v>4013.1278149999998</v>
      </c>
      <c r="AF110" s="1">
        <v>777172.02190000005</v>
      </c>
      <c r="AG110" s="1">
        <v>3902.6388510000002</v>
      </c>
      <c r="AH110" s="1">
        <v>358.27376349999997</v>
      </c>
      <c r="AI110" s="1">
        <v>4.4365234600000001</v>
      </c>
      <c r="AJ110" s="1">
        <v>174.79117360000001</v>
      </c>
      <c r="AK110" s="1">
        <v>5073.3607259999999</v>
      </c>
      <c r="AL110" s="1">
        <v>7308.3809220000003</v>
      </c>
      <c r="AM110" s="1">
        <v>1946.467967</v>
      </c>
      <c r="AN110" s="1">
        <v>202.60489630000001</v>
      </c>
      <c r="AO110" s="1">
        <v>522.57134580000002</v>
      </c>
      <c r="AP110" s="1">
        <v>26.759395649999998</v>
      </c>
      <c r="AQ110" s="1">
        <v>1279.210239</v>
      </c>
      <c r="AR110" s="1">
        <v>1996.4225269999999</v>
      </c>
    </row>
    <row r="111" spans="1:44">
      <c r="A111" s="1">
        <v>2017</v>
      </c>
      <c r="B111" s="1" t="s">
        <v>44</v>
      </c>
      <c r="C111" s="1" t="s">
        <v>49</v>
      </c>
      <c r="D111" s="1">
        <v>3194354</v>
      </c>
      <c r="E111" s="1">
        <v>185919.1985</v>
      </c>
      <c r="F111" s="1">
        <v>25718.025699999998</v>
      </c>
      <c r="G111" s="1">
        <v>71603.15036</v>
      </c>
      <c r="H111" s="1">
        <v>8672.5447100000001</v>
      </c>
      <c r="I111" s="1">
        <v>7908.9180669999996</v>
      </c>
      <c r="J111" s="1">
        <v>6.9038027199999998</v>
      </c>
      <c r="K111" s="1">
        <v>756.72284060000004</v>
      </c>
      <c r="L111" s="1">
        <v>5635.034173</v>
      </c>
      <c r="M111" s="1">
        <v>3445.5585609999998</v>
      </c>
      <c r="N111" s="1">
        <v>7853.5164759999998</v>
      </c>
      <c r="O111" s="1">
        <v>1102.8546260000001</v>
      </c>
      <c r="P111" s="1">
        <v>2585.5637320000001</v>
      </c>
      <c r="Q111" s="1">
        <v>2327.1121410000001</v>
      </c>
      <c r="R111" s="1">
        <v>256.11633970000003</v>
      </c>
      <c r="S111" s="1">
        <v>2.3352509399999999</v>
      </c>
      <c r="T111" s="1">
        <v>19329.808929999999</v>
      </c>
      <c r="U111" s="1">
        <v>137294.3173</v>
      </c>
      <c r="V111" s="1">
        <v>7454.9900150000003</v>
      </c>
      <c r="W111" s="1">
        <v>1.1202168100000001</v>
      </c>
      <c r="X111" s="1">
        <v>7453.8697979999997</v>
      </c>
      <c r="Y111" s="1">
        <v>60.468064679999998</v>
      </c>
      <c r="Z111" s="1">
        <v>7478.835067</v>
      </c>
      <c r="AA111" s="1">
        <v>9931.4546399999999</v>
      </c>
      <c r="AB111" s="1">
        <v>1228.4582760000001</v>
      </c>
      <c r="AC111" s="1">
        <v>3739.5322190000002</v>
      </c>
      <c r="AD111" s="1">
        <v>79705.378169999996</v>
      </c>
      <c r="AE111" s="1">
        <v>4100.9579940000003</v>
      </c>
      <c r="AF111" s="1">
        <v>800770.31740000006</v>
      </c>
      <c r="AG111" s="1">
        <v>5585.0024750000002</v>
      </c>
      <c r="AH111" s="1">
        <v>704.60770779999996</v>
      </c>
      <c r="AI111" s="1">
        <v>10.24075665</v>
      </c>
      <c r="AJ111" s="1">
        <v>330.88689649999998</v>
      </c>
      <c r="AK111" s="1">
        <v>6779.4846120000002</v>
      </c>
      <c r="AL111" s="1">
        <v>9427.9737339999992</v>
      </c>
      <c r="AM111" s="1">
        <v>2391.124945</v>
      </c>
      <c r="AN111" s="1">
        <v>263.95976730000001</v>
      </c>
      <c r="AO111" s="1">
        <v>696.47580459999995</v>
      </c>
      <c r="AP111" s="1">
        <v>42.585807709999997</v>
      </c>
      <c r="AQ111" s="1">
        <v>1869.4948429999999</v>
      </c>
      <c r="AR111" s="1">
        <v>2652.992064</v>
      </c>
    </row>
    <row r="112" spans="1:44">
      <c r="A112" s="1">
        <v>2017</v>
      </c>
      <c r="B112" s="1" t="s">
        <v>44</v>
      </c>
      <c r="C112" s="1" t="s">
        <v>50</v>
      </c>
      <c r="D112" s="1">
        <v>1175016</v>
      </c>
      <c r="E112" s="1">
        <v>103111.3008</v>
      </c>
      <c r="F112" s="1">
        <v>15162.945750000001</v>
      </c>
      <c r="G112" s="1">
        <v>39621.212019999999</v>
      </c>
      <c r="H112" s="1">
        <v>4692.8526179999999</v>
      </c>
      <c r="I112" s="1">
        <v>3981.2758990000002</v>
      </c>
      <c r="J112" s="1">
        <v>2.8676855400000001</v>
      </c>
      <c r="K112" s="1">
        <v>708.70903290000001</v>
      </c>
      <c r="L112" s="1">
        <v>2220.1754940000001</v>
      </c>
      <c r="M112" s="1">
        <v>1828.890251</v>
      </c>
      <c r="N112" s="1">
        <v>4511.1135100000001</v>
      </c>
      <c r="O112" s="1">
        <v>704.40566430000001</v>
      </c>
      <c r="P112" s="1">
        <v>1662.7571089999999</v>
      </c>
      <c r="Q112" s="1">
        <v>1483.6533959999999</v>
      </c>
      <c r="R112" s="1">
        <v>178.06713830000001</v>
      </c>
      <c r="S112" s="1">
        <v>1.03657438</v>
      </c>
      <c r="T112" s="1">
        <v>10135.950629999999</v>
      </c>
      <c r="U112" s="1">
        <v>77355.155530000004</v>
      </c>
      <c r="V112" s="1">
        <v>9019.2894789999991</v>
      </c>
      <c r="W112" s="1">
        <v>2.0932289499999999</v>
      </c>
      <c r="X112" s="1">
        <v>9017.1962500000009</v>
      </c>
      <c r="Y112" s="1">
        <v>38.309244139999997</v>
      </c>
      <c r="Z112" s="1">
        <v>9032.3933639999996</v>
      </c>
      <c r="AA112" s="1">
        <v>9611.4505910000007</v>
      </c>
      <c r="AB112" s="1">
        <v>1347.345153</v>
      </c>
      <c r="AC112" s="1">
        <v>1987.767623</v>
      </c>
      <c r="AD112" s="1">
        <v>36838.431519999998</v>
      </c>
      <c r="AE112" s="1">
        <v>2435.0478349999998</v>
      </c>
      <c r="AF112" s="1">
        <v>444663.24729999999</v>
      </c>
      <c r="AG112" s="1">
        <v>3383.4601779999998</v>
      </c>
      <c r="AH112" s="1">
        <v>673.30653340000003</v>
      </c>
      <c r="AI112" s="1">
        <v>12.485772219999999</v>
      </c>
      <c r="AJ112" s="1">
        <v>290.30252960000001</v>
      </c>
      <c r="AK112" s="1">
        <v>3993.113445</v>
      </c>
      <c r="AL112" s="1">
        <v>5582.6045869999998</v>
      </c>
      <c r="AM112" s="1">
        <v>1519.9478839999999</v>
      </c>
      <c r="AN112" s="1">
        <v>182.3234324</v>
      </c>
      <c r="AO112" s="1">
        <v>409.58916440000002</v>
      </c>
      <c r="AP112" s="1">
        <v>33.458531819999997</v>
      </c>
      <c r="AQ112" s="1">
        <v>1198.927846</v>
      </c>
      <c r="AR112" s="1">
        <v>1484.6026380000001</v>
      </c>
    </row>
    <row r="113" spans="1:44">
      <c r="A113" s="1">
        <v>2017</v>
      </c>
      <c r="B113" s="1" t="s">
        <v>44</v>
      </c>
      <c r="C113" s="1" t="s">
        <v>51</v>
      </c>
      <c r="D113" s="1">
        <v>862831</v>
      </c>
      <c r="E113" s="1">
        <v>103001.9348</v>
      </c>
      <c r="F113" s="1">
        <v>15762.79405</v>
      </c>
      <c r="G113" s="1">
        <v>34793.16732</v>
      </c>
      <c r="H113" s="1">
        <v>5432.008108</v>
      </c>
      <c r="I113" s="1">
        <v>4287.4398490000003</v>
      </c>
      <c r="J113" s="1">
        <v>2.6973126600000001</v>
      </c>
      <c r="K113" s="1">
        <v>1141.870946</v>
      </c>
      <c r="L113" s="1">
        <v>1818.78313</v>
      </c>
      <c r="M113" s="1">
        <v>1547.758879</v>
      </c>
      <c r="N113" s="1">
        <v>4648.5834359999999</v>
      </c>
      <c r="O113" s="1">
        <v>697.63040999999998</v>
      </c>
      <c r="P113" s="1">
        <v>1681.6199939999999</v>
      </c>
      <c r="Q113" s="1">
        <v>1492.142505</v>
      </c>
      <c r="R113" s="1">
        <v>188.60638489999999</v>
      </c>
      <c r="S113" s="1">
        <v>0.87110368999999999</v>
      </c>
      <c r="T113" s="1">
        <v>6318.5307359999997</v>
      </c>
      <c r="U113" s="1">
        <v>80857.020139999993</v>
      </c>
      <c r="V113" s="1">
        <v>13239.190759999999</v>
      </c>
      <c r="W113" s="1">
        <v>4.5182614499999998</v>
      </c>
      <c r="X113" s="1">
        <v>13234.672500000001</v>
      </c>
      <c r="Y113" s="1">
        <v>53.97966418</v>
      </c>
      <c r="Z113" s="1">
        <v>13258.49768</v>
      </c>
      <c r="AA113" s="1">
        <v>13116.37155</v>
      </c>
      <c r="AB113" s="1">
        <v>1598.835585</v>
      </c>
      <c r="AC113" s="1">
        <v>1527.535341</v>
      </c>
      <c r="AD113" s="1">
        <v>32874.279860000002</v>
      </c>
      <c r="AE113" s="1">
        <v>2244.3376280000002</v>
      </c>
      <c r="AF113" s="1">
        <v>420973.03759999998</v>
      </c>
      <c r="AG113" s="1">
        <v>4294.0940019999998</v>
      </c>
      <c r="AH113" s="1">
        <v>1014.031598</v>
      </c>
      <c r="AI113" s="1">
        <v>31.818430379999999</v>
      </c>
      <c r="AJ113" s="1">
        <v>399.69984649999998</v>
      </c>
      <c r="AK113" s="1">
        <v>3732.3859969999999</v>
      </c>
      <c r="AL113" s="1">
        <v>5397.4095150000003</v>
      </c>
      <c r="AM113" s="1">
        <v>1511.2172860000001</v>
      </c>
      <c r="AN113" s="1">
        <v>191.02361389999999</v>
      </c>
      <c r="AO113" s="1">
        <v>415.6587553</v>
      </c>
      <c r="AP113" s="1">
        <v>25.31726493</v>
      </c>
      <c r="AQ113" s="1">
        <v>1384.020352</v>
      </c>
      <c r="AR113" s="1">
        <v>1519.579688</v>
      </c>
    </row>
    <row r="114" spans="1:44">
      <c r="A114" s="1">
        <v>2017</v>
      </c>
      <c r="B114" s="1" t="s">
        <v>44</v>
      </c>
      <c r="C114" s="1" t="s">
        <v>52</v>
      </c>
      <c r="D114" s="1">
        <v>672118</v>
      </c>
      <c r="E114" s="1">
        <v>112857.35249999999</v>
      </c>
      <c r="F114" s="1">
        <v>18685.62601</v>
      </c>
      <c r="G114" s="1">
        <v>36797.524960000002</v>
      </c>
      <c r="H114" s="1">
        <v>7256.0750079999998</v>
      </c>
      <c r="I114" s="1">
        <v>5339.2414520000002</v>
      </c>
      <c r="J114" s="1">
        <v>2.9545217400000001</v>
      </c>
      <c r="K114" s="1">
        <v>1913.8790329999999</v>
      </c>
      <c r="L114" s="1">
        <v>1566.0467679999999</v>
      </c>
      <c r="M114" s="1">
        <v>1343.592488</v>
      </c>
      <c r="N114" s="1">
        <v>5063.9719580000001</v>
      </c>
      <c r="O114" s="1">
        <v>766.09727090000001</v>
      </c>
      <c r="P114" s="1">
        <v>1787.123855</v>
      </c>
      <c r="Q114" s="1">
        <v>1579.158709</v>
      </c>
      <c r="R114" s="1">
        <v>207.10810319999999</v>
      </c>
      <c r="S114" s="1">
        <v>0.85704256000000001</v>
      </c>
      <c r="T114" s="1">
        <v>3261.4668419999998</v>
      </c>
      <c r="U114" s="1">
        <v>91812.978350000005</v>
      </c>
      <c r="V114" s="1">
        <v>18241.20105</v>
      </c>
      <c r="W114" s="1">
        <v>10.349695479999999</v>
      </c>
      <c r="X114" s="1">
        <v>18230.851360000001</v>
      </c>
      <c r="Y114" s="1">
        <v>69.030590959999998</v>
      </c>
      <c r="Z114" s="1">
        <v>18252.23432</v>
      </c>
      <c r="AA114" s="1">
        <v>17693.217079999999</v>
      </c>
      <c r="AB114" s="1">
        <v>1751.368555</v>
      </c>
      <c r="AC114" s="1">
        <v>1274.635671</v>
      </c>
      <c r="AD114" s="1">
        <v>116480.4599</v>
      </c>
      <c r="AE114" s="1">
        <v>2892.5487459999999</v>
      </c>
      <c r="AF114" s="1">
        <v>484099.59989999997</v>
      </c>
      <c r="AG114" s="1">
        <v>4743.8939710000004</v>
      </c>
      <c r="AH114" s="1">
        <v>1614.4004660000001</v>
      </c>
      <c r="AI114" s="1">
        <v>41.780318180000002</v>
      </c>
      <c r="AJ114" s="1">
        <v>536.67392370000005</v>
      </c>
      <c r="AK114" s="1">
        <v>3829.8672430000001</v>
      </c>
      <c r="AL114" s="1">
        <v>5577.0071829999997</v>
      </c>
      <c r="AM114" s="1">
        <v>1591.1769589999999</v>
      </c>
      <c r="AN114" s="1">
        <v>209.15250800000001</v>
      </c>
      <c r="AO114" s="1">
        <v>467.54749570000001</v>
      </c>
      <c r="AP114" s="1">
        <v>28.696197340000001</v>
      </c>
      <c r="AQ114" s="1">
        <v>1667.4971439999999</v>
      </c>
      <c r="AR114" s="1">
        <v>2057.3177139999998</v>
      </c>
    </row>
    <row r="115" spans="1:44">
      <c r="A115" s="1">
        <v>2017</v>
      </c>
      <c r="B115" s="1" t="s">
        <v>44</v>
      </c>
      <c r="C115" s="1" t="s">
        <v>53</v>
      </c>
      <c r="D115" s="1">
        <v>307064</v>
      </c>
      <c r="E115" s="1">
        <v>71553.034169999999</v>
      </c>
      <c r="F115" s="1">
        <v>12468.14229</v>
      </c>
      <c r="G115" s="1">
        <v>23886.559399999998</v>
      </c>
      <c r="H115" s="1">
        <v>5150.0353859999996</v>
      </c>
      <c r="I115" s="1">
        <v>3636.9934130000001</v>
      </c>
      <c r="J115" s="1">
        <v>2.3599081599999998</v>
      </c>
      <c r="K115" s="1">
        <v>1510.6820640000001</v>
      </c>
      <c r="L115" s="1">
        <v>728.94473230000006</v>
      </c>
      <c r="M115" s="1">
        <v>625.29668200000003</v>
      </c>
      <c r="N115" s="1">
        <v>3035.9743189999999</v>
      </c>
      <c r="O115" s="1">
        <v>642.10088159999998</v>
      </c>
      <c r="P115" s="1">
        <v>1057.5113490000001</v>
      </c>
      <c r="Q115" s="1">
        <v>927.5179369</v>
      </c>
      <c r="R115" s="1">
        <v>129.5407075</v>
      </c>
      <c r="S115" s="1">
        <v>0.45270419000000001</v>
      </c>
      <c r="T115" s="1">
        <v>925.12439180000001</v>
      </c>
      <c r="U115" s="1">
        <v>59388.046430000002</v>
      </c>
      <c r="V115" s="1">
        <v>13130.52051</v>
      </c>
      <c r="W115" s="1">
        <v>11.30405225</v>
      </c>
      <c r="X115" s="1">
        <v>13119.21646</v>
      </c>
      <c r="Y115" s="1">
        <v>51.525342879999997</v>
      </c>
      <c r="Z115" s="1">
        <v>13131.495580000001</v>
      </c>
      <c r="AA115" s="1">
        <v>12632.67022</v>
      </c>
      <c r="AB115" s="1">
        <v>1107.563852</v>
      </c>
      <c r="AC115" s="1">
        <v>666.28879959999995</v>
      </c>
      <c r="AD115" s="1">
        <v>23030.590550000001</v>
      </c>
      <c r="AE115" s="1">
        <v>1973.5070519999999</v>
      </c>
      <c r="AF115" s="1">
        <v>325787.88589999999</v>
      </c>
      <c r="AG115" s="1">
        <v>3261.2290849999999</v>
      </c>
      <c r="AH115" s="1">
        <v>1269.466527</v>
      </c>
      <c r="AI115" s="1">
        <v>25.990991690000001</v>
      </c>
      <c r="AJ115" s="1">
        <v>356.34040959999999</v>
      </c>
      <c r="AK115" s="1">
        <v>2177.542762</v>
      </c>
      <c r="AL115" s="1">
        <v>3267.6505609999999</v>
      </c>
      <c r="AM115" s="1">
        <v>934.4800788</v>
      </c>
      <c r="AN115" s="1">
        <v>130.57467869999999</v>
      </c>
      <c r="AO115" s="1">
        <v>311.72152469999997</v>
      </c>
      <c r="AP115" s="1">
        <v>11.51303066</v>
      </c>
      <c r="AQ115" s="1">
        <v>1229.533856</v>
      </c>
      <c r="AR115" s="1">
        <v>1677.0202830000001</v>
      </c>
    </row>
    <row r="116" spans="1:44">
      <c r="A116" s="1">
        <v>2017</v>
      </c>
      <c r="B116" s="1" t="s">
        <v>44</v>
      </c>
      <c r="C116" s="1" t="s">
        <v>54</v>
      </c>
      <c r="D116" s="1">
        <v>270648</v>
      </c>
      <c r="E116" s="1">
        <v>87481.239159999997</v>
      </c>
      <c r="F116" s="1">
        <v>18027.191210000001</v>
      </c>
      <c r="G116" s="1">
        <v>30316.23328</v>
      </c>
      <c r="H116" s="1">
        <v>6528.2120789999999</v>
      </c>
      <c r="I116" s="1">
        <v>4729.9189420000002</v>
      </c>
      <c r="J116" s="1">
        <v>3.34928187</v>
      </c>
      <c r="K116" s="1">
        <v>1794.943855</v>
      </c>
      <c r="L116" s="1">
        <v>650.18828800000006</v>
      </c>
      <c r="M116" s="1">
        <v>564.46737740000003</v>
      </c>
      <c r="N116" s="1">
        <v>3482.4616999999998</v>
      </c>
      <c r="O116" s="1">
        <v>955.5009652</v>
      </c>
      <c r="P116" s="1">
        <v>1071.231873</v>
      </c>
      <c r="Q116" s="1">
        <v>942.98324630000002</v>
      </c>
      <c r="R116" s="1">
        <v>127.6812671</v>
      </c>
      <c r="S116" s="1">
        <v>0.56735911999999999</v>
      </c>
      <c r="T116" s="1">
        <v>575.04245749999995</v>
      </c>
      <c r="U116" s="1">
        <v>73654.134420000002</v>
      </c>
      <c r="V116" s="1">
        <v>17433.976859999999</v>
      </c>
      <c r="W116" s="1">
        <v>21.31890113</v>
      </c>
      <c r="X116" s="1">
        <v>17412.65796</v>
      </c>
      <c r="Y116" s="1">
        <v>88.97647628</v>
      </c>
      <c r="Z116" s="1">
        <v>17445.252759999999</v>
      </c>
      <c r="AA116" s="1">
        <v>16771.793010000001</v>
      </c>
      <c r="AB116" s="1">
        <v>1347.749409</v>
      </c>
      <c r="AC116" s="1">
        <v>757.81771890000005</v>
      </c>
      <c r="AD116" s="1">
        <v>26085.93705</v>
      </c>
      <c r="AE116" s="1">
        <v>2285.0920729999998</v>
      </c>
      <c r="AF116" s="1">
        <v>446054.62849999999</v>
      </c>
      <c r="AG116" s="1">
        <v>4422.5704729999998</v>
      </c>
      <c r="AH116" s="1">
        <v>1517.023175</v>
      </c>
      <c r="AI116" s="1">
        <v>33.859353470000002</v>
      </c>
      <c r="AJ116" s="1">
        <v>380.77374780000002</v>
      </c>
      <c r="AK116" s="1">
        <v>2412.9962620000001</v>
      </c>
      <c r="AL116" s="1">
        <v>3732.7575750000001</v>
      </c>
      <c r="AM116" s="1">
        <v>950.62110029999997</v>
      </c>
      <c r="AN116" s="1">
        <v>128.95882710000001</v>
      </c>
      <c r="AO116" s="1">
        <v>349.1617114</v>
      </c>
      <c r="AP116" s="1">
        <v>15.153830709999999</v>
      </c>
      <c r="AQ116" s="1">
        <v>1600.1468640000001</v>
      </c>
      <c r="AR116" s="1">
        <v>2032.765328</v>
      </c>
    </row>
    <row r="117" spans="1:44">
      <c r="A117" s="1">
        <v>2017</v>
      </c>
      <c r="B117" s="1" t="s">
        <v>44</v>
      </c>
      <c r="C117" s="1" t="s">
        <v>55</v>
      </c>
      <c r="D117" s="1">
        <v>80783</v>
      </c>
      <c r="E117" s="1">
        <v>35617.874389999997</v>
      </c>
      <c r="F117" s="1">
        <v>8458.8690160000006</v>
      </c>
      <c r="G117" s="1">
        <v>16639.748759999999</v>
      </c>
      <c r="H117" s="1">
        <v>2230.5572929999998</v>
      </c>
      <c r="I117" s="1">
        <v>1390.6776910000001</v>
      </c>
      <c r="J117" s="1">
        <v>2.1603024400000002</v>
      </c>
      <c r="K117" s="1">
        <v>837.71929909999994</v>
      </c>
      <c r="L117" s="1">
        <v>199.89762909999999</v>
      </c>
      <c r="M117" s="1">
        <v>180.34215140000001</v>
      </c>
      <c r="N117" s="1">
        <v>1061.0711570000001</v>
      </c>
      <c r="O117" s="1">
        <v>632.06105560000003</v>
      </c>
      <c r="P117" s="1">
        <v>314.2586488</v>
      </c>
      <c r="Q117" s="1">
        <v>274.50713680000001</v>
      </c>
      <c r="R117" s="1">
        <v>39.528968589999998</v>
      </c>
      <c r="S117" s="1">
        <v>0.22254344000000001</v>
      </c>
      <c r="T117" s="1">
        <v>181.70081730000001</v>
      </c>
      <c r="U117" s="1">
        <v>30817.985639999999</v>
      </c>
      <c r="V117" s="1">
        <v>7633.5242790000002</v>
      </c>
      <c r="W117" s="1">
        <v>12.668705210000001</v>
      </c>
      <c r="X117" s="1">
        <v>7620.8555740000002</v>
      </c>
      <c r="Y117" s="1">
        <v>28.610226999999998</v>
      </c>
      <c r="Z117" s="1">
        <v>7627.2610679999998</v>
      </c>
      <c r="AA117" s="1">
        <v>7010.5537549999999</v>
      </c>
      <c r="AB117" s="1">
        <v>734.8505748</v>
      </c>
      <c r="AC117" s="1">
        <v>188.82024759999999</v>
      </c>
      <c r="AD117" s="1">
        <v>11949.607120000001</v>
      </c>
      <c r="AE117" s="1">
        <v>956.94710220000002</v>
      </c>
      <c r="AF117" s="1">
        <v>230623.35560000001</v>
      </c>
      <c r="AG117" s="1">
        <v>1979.676287</v>
      </c>
      <c r="AH117" s="1">
        <v>709.91574119999996</v>
      </c>
      <c r="AI117" s="1">
        <v>6.5306409700000003</v>
      </c>
      <c r="AJ117" s="1">
        <v>172.20645339999999</v>
      </c>
      <c r="AK117" s="1">
        <v>932.32208530000003</v>
      </c>
      <c r="AL117" s="1">
        <v>1165.84593</v>
      </c>
      <c r="AM117" s="1">
        <v>277.1224565</v>
      </c>
      <c r="AN117" s="1">
        <v>39.823575009999999</v>
      </c>
      <c r="AO117" s="1">
        <v>146.23888500000001</v>
      </c>
      <c r="AP117" s="1">
        <v>9.8023450099999998</v>
      </c>
      <c r="AQ117" s="1">
        <v>734.31098050000003</v>
      </c>
      <c r="AR117" s="1">
        <v>1364.0187900000001</v>
      </c>
    </row>
    <row r="118" spans="1:44">
      <c r="A118" s="1">
        <v>2017</v>
      </c>
      <c r="B118" s="1" t="s">
        <v>44</v>
      </c>
      <c r="C118" s="1" t="s">
        <v>56</v>
      </c>
      <c r="D118" s="1">
        <v>42732</v>
      </c>
      <c r="E118" s="1">
        <v>25955.697359999998</v>
      </c>
      <c r="F118" s="1">
        <v>7283.3146470000002</v>
      </c>
      <c r="G118" s="1">
        <v>14399.00243</v>
      </c>
      <c r="H118" s="1">
        <v>1200.992465</v>
      </c>
      <c r="I118" s="1">
        <v>514.43672749999996</v>
      </c>
      <c r="J118" s="1">
        <v>1.51788642</v>
      </c>
      <c r="K118" s="1">
        <v>685.03785119999998</v>
      </c>
      <c r="L118" s="1">
        <v>108.6555457</v>
      </c>
      <c r="M118" s="1">
        <v>98.585167049999995</v>
      </c>
      <c r="N118" s="1">
        <v>577.68212249999999</v>
      </c>
      <c r="O118" s="1">
        <v>738.23116349999998</v>
      </c>
      <c r="P118" s="1">
        <v>205.6203074</v>
      </c>
      <c r="Q118" s="1">
        <v>172.95326119999999</v>
      </c>
      <c r="R118" s="1">
        <v>32.660435839999998</v>
      </c>
      <c r="S118" s="1">
        <v>6.6104400000000004E-3</v>
      </c>
      <c r="T118" s="1">
        <v>123.34545110000001</v>
      </c>
      <c r="U118" s="1">
        <v>22902.585139999999</v>
      </c>
      <c r="V118" s="1">
        <v>5853.499159</v>
      </c>
      <c r="W118" s="1">
        <v>11.29227554</v>
      </c>
      <c r="X118" s="1">
        <v>5842.2068829999998</v>
      </c>
      <c r="Y118" s="1">
        <v>8.1082808199999992</v>
      </c>
      <c r="Z118" s="1">
        <v>5837.3189640000001</v>
      </c>
      <c r="AA118" s="1">
        <v>5190.020168</v>
      </c>
      <c r="AB118" s="1">
        <v>654.30252199999995</v>
      </c>
      <c r="AC118" s="1">
        <v>128.39482580000001</v>
      </c>
      <c r="AD118" s="1">
        <v>11217.313829999999</v>
      </c>
      <c r="AE118" s="1">
        <v>1317.899977</v>
      </c>
      <c r="AF118" s="1">
        <v>200772.53479999999</v>
      </c>
      <c r="AG118" s="1">
        <v>1789.697435</v>
      </c>
      <c r="AH118" s="1">
        <v>595.68425439999999</v>
      </c>
      <c r="AI118" s="1">
        <v>1.0164382700000001</v>
      </c>
      <c r="AJ118" s="1">
        <v>130.40412839999999</v>
      </c>
      <c r="AK118" s="1">
        <v>617.10576130000004</v>
      </c>
      <c r="AL118" s="1">
        <v>664.72703920000004</v>
      </c>
      <c r="AM118" s="1">
        <v>175.3595038</v>
      </c>
      <c r="AN118" s="1">
        <v>32.844961410000003</v>
      </c>
      <c r="AO118" s="1">
        <v>125.1750418</v>
      </c>
      <c r="AP118" s="1">
        <v>7.8372557900000004</v>
      </c>
      <c r="AQ118" s="1">
        <v>545.83131260000005</v>
      </c>
      <c r="AR118" s="1">
        <v>1371.5420389999999</v>
      </c>
    </row>
    <row r="119" spans="1:44">
      <c r="A119" s="1">
        <v>2017</v>
      </c>
      <c r="B119" s="1" t="s">
        <v>44</v>
      </c>
      <c r="C119" s="1" t="s">
        <v>57</v>
      </c>
      <c r="D119" s="1">
        <v>12558</v>
      </c>
      <c r="E119" s="1">
        <v>10833.3069</v>
      </c>
      <c r="F119" s="1">
        <v>3515.9607000000001</v>
      </c>
      <c r="G119" s="1">
        <v>8457.1720139999998</v>
      </c>
      <c r="H119" s="1">
        <v>369.1307918</v>
      </c>
      <c r="I119" s="1">
        <v>112.27404660000001</v>
      </c>
      <c r="J119" s="1">
        <v>0.39531118999999998</v>
      </c>
      <c r="K119" s="1">
        <v>256.46143389999997</v>
      </c>
      <c r="L119" s="1">
        <v>30.870560520000002</v>
      </c>
      <c r="M119" s="1">
        <v>27.754815149999999</v>
      </c>
      <c r="N119" s="1">
        <v>187.5307474</v>
      </c>
      <c r="O119" s="1">
        <v>433.5359502</v>
      </c>
      <c r="P119" s="1">
        <v>64.750461659999999</v>
      </c>
      <c r="Q119" s="1">
        <v>55.076190560000001</v>
      </c>
      <c r="R119" s="1">
        <v>9.6736337199999998</v>
      </c>
      <c r="S119" s="1">
        <v>6.3738E-4</v>
      </c>
      <c r="T119" s="1">
        <v>46.510047839999999</v>
      </c>
      <c r="U119" s="1">
        <v>9673.2235280000004</v>
      </c>
      <c r="V119" s="1">
        <v>2529.5489739999998</v>
      </c>
      <c r="W119" s="1">
        <v>5.3682045599999997</v>
      </c>
      <c r="X119" s="1">
        <v>2524.1807690000001</v>
      </c>
      <c r="Y119" s="1">
        <v>1.9713683799999999</v>
      </c>
      <c r="Z119" s="1">
        <v>2522.1012129999999</v>
      </c>
      <c r="AA119" s="1">
        <v>2162.2164419999999</v>
      </c>
      <c r="AB119" s="1">
        <v>311.54478890000001</v>
      </c>
      <c r="AC119" s="1">
        <v>54.317045389999997</v>
      </c>
      <c r="AD119" s="1">
        <v>6622.3736349999999</v>
      </c>
      <c r="AE119" s="1">
        <v>849.46263680000004</v>
      </c>
      <c r="AF119" s="1">
        <v>108990.93060000001</v>
      </c>
      <c r="AG119" s="1">
        <v>789.13114459999997</v>
      </c>
      <c r="AH119" s="1">
        <v>223.89243730000001</v>
      </c>
      <c r="AI119" s="1">
        <v>0.26019731000000001</v>
      </c>
      <c r="AJ119" s="1">
        <v>50.472052499999997</v>
      </c>
      <c r="AK119" s="1">
        <v>222.19815310000001</v>
      </c>
      <c r="AL119" s="1">
        <v>224.76724179999999</v>
      </c>
      <c r="AM119" s="1">
        <v>56.394697979999997</v>
      </c>
      <c r="AN119" s="1">
        <v>11.03696963</v>
      </c>
      <c r="AO119" s="1">
        <v>49.559710330000001</v>
      </c>
      <c r="AP119" s="1">
        <v>3.23345685</v>
      </c>
      <c r="AQ119" s="1">
        <v>366.08664620000002</v>
      </c>
      <c r="AR119" s="1">
        <v>1313.5032699999999</v>
      </c>
    </row>
    <row r="120" spans="1:44">
      <c r="A120" s="1">
        <v>2017</v>
      </c>
      <c r="B120" s="1" t="s">
        <v>44</v>
      </c>
      <c r="C120" s="1" t="s">
        <v>58</v>
      </c>
      <c r="D120" s="1">
        <v>10799</v>
      </c>
      <c r="E120" s="1">
        <v>14622.45304</v>
      </c>
      <c r="F120" s="1">
        <v>6271.7679950000002</v>
      </c>
      <c r="G120" s="1">
        <v>10238.176509999999</v>
      </c>
      <c r="H120" s="1">
        <v>380.41142259999998</v>
      </c>
      <c r="I120" s="1">
        <v>73.534674269999996</v>
      </c>
      <c r="J120" s="1">
        <v>0.66524775000000003</v>
      </c>
      <c r="K120" s="1">
        <v>306.21150060000002</v>
      </c>
      <c r="L120" s="1">
        <v>27.062076600000001</v>
      </c>
      <c r="M120" s="1">
        <v>24.015254169999999</v>
      </c>
      <c r="N120" s="1">
        <v>189.30052929999999</v>
      </c>
      <c r="O120" s="1">
        <v>989.17478600000004</v>
      </c>
      <c r="P120" s="1">
        <v>73.140924409999997</v>
      </c>
      <c r="Q120" s="1">
        <v>60.774583509999999</v>
      </c>
      <c r="R120" s="1">
        <v>12.341940900000001</v>
      </c>
      <c r="S120" s="1">
        <v>2.4400000000000002E-2</v>
      </c>
      <c r="T120" s="1">
        <v>41.785323959999999</v>
      </c>
      <c r="U120" s="1">
        <v>12897.56272</v>
      </c>
      <c r="V120" s="1">
        <v>3434.620531</v>
      </c>
      <c r="W120" s="1">
        <v>9.2317637999999995</v>
      </c>
      <c r="X120" s="1">
        <v>3425.3887669999999</v>
      </c>
      <c r="Y120" s="1">
        <v>0.74364635000000001</v>
      </c>
      <c r="Z120" s="1">
        <v>3422.4094129999999</v>
      </c>
      <c r="AA120" s="1">
        <v>2899.602124</v>
      </c>
      <c r="AB120" s="1">
        <v>456.92323829999998</v>
      </c>
      <c r="AC120" s="1">
        <v>71.813425949999996</v>
      </c>
      <c r="AD120" s="1">
        <v>7708.7497110000004</v>
      </c>
      <c r="AE120" s="1">
        <v>1176.14041</v>
      </c>
      <c r="AF120" s="1">
        <v>165347.77900000001</v>
      </c>
      <c r="AG120" s="1">
        <v>1580.7638649999999</v>
      </c>
      <c r="AH120" s="1">
        <v>277.93092789999997</v>
      </c>
      <c r="AI120" s="1">
        <v>3.3542710000000003E-2</v>
      </c>
      <c r="AJ120" s="1">
        <v>50.671481280000002</v>
      </c>
      <c r="AK120" s="1">
        <v>234.69082230000001</v>
      </c>
      <c r="AL120" s="1">
        <v>232.81689349999999</v>
      </c>
      <c r="AM120" s="1">
        <v>61.139444009999998</v>
      </c>
      <c r="AN120" s="1">
        <v>12.63050806</v>
      </c>
      <c r="AO120" s="1">
        <v>59.997205299999997</v>
      </c>
      <c r="AP120" s="1">
        <v>20.270709060000002</v>
      </c>
      <c r="AQ120" s="1">
        <v>408.94275929999998</v>
      </c>
      <c r="AR120" s="1">
        <v>2188.1024470000002</v>
      </c>
    </row>
    <row r="121" spans="1:44">
      <c r="A121" s="1">
        <v>2017</v>
      </c>
      <c r="B121" s="1" t="s">
        <v>44</v>
      </c>
      <c r="C121" s="1" t="s">
        <v>59</v>
      </c>
      <c r="D121" s="1">
        <v>2166</v>
      </c>
      <c r="E121" s="1">
        <v>5419.3316709999999</v>
      </c>
      <c r="F121" s="1">
        <v>2210.8068499999999</v>
      </c>
      <c r="G121" s="1">
        <v>5134.7932650000002</v>
      </c>
      <c r="H121" s="1">
        <v>105.33063319999999</v>
      </c>
      <c r="I121" s="1">
        <v>13.191542</v>
      </c>
      <c r="J121" s="1">
        <v>0.25255606000000003</v>
      </c>
      <c r="K121" s="1">
        <v>91.886535129999999</v>
      </c>
      <c r="L121" s="1">
        <v>5.7650527199999999</v>
      </c>
      <c r="M121" s="1">
        <v>4.7887008800000004</v>
      </c>
      <c r="N121" s="1">
        <v>43.005262709999997</v>
      </c>
      <c r="O121" s="1">
        <v>566.03089130000001</v>
      </c>
      <c r="P121" s="1">
        <v>20.965184740000002</v>
      </c>
      <c r="Q121" s="1">
        <v>17.24580478</v>
      </c>
      <c r="R121" s="1">
        <v>3.6950179599999999</v>
      </c>
      <c r="S121" s="1">
        <v>2.4362000000000002E-2</v>
      </c>
      <c r="T121" s="1">
        <v>8.1091005599999999</v>
      </c>
      <c r="U121" s="1">
        <v>4665.3368449999998</v>
      </c>
      <c r="V121" s="1">
        <v>1260.482495</v>
      </c>
      <c r="W121" s="1">
        <v>4.0296513100000002</v>
      </c>
      <c r="X121" s="1">
        <v>1256.4528439999999</v>
      </c>
      <c r="Y121" s="1">
        <v>1.0684248599999999</v>
      </c>
      <c r="Z121" s="1">
        <v>1256.714868</v>
      </c>
      <c r="AA121" s="1">
        <v>1020.114433</v>
      </c>
      <c r="AB121" s="1">
        <v>208.57117070000001</v>
      </c>
      <c r="AC121" s="1">
        <v>19.739511270000001</v>
      </c>
      <c r="AD121" s="1">
        <v>4334.6045949999998</v>
      </c>
      <c r="AE121" s="1">
        <v>1022.874733</v>
      </c>
      <c r="AF121" s="1">
        <v>76898.124110000004</v>
      </c>
      <c r="AG121" s="1">
        <v>334.23314329999999</v>
      </c>
      <c r="AH121" s="1">
        <v>82.149809320000003</v>
      </c>
      <c r="AI121" s="1">
        <v>0</v>
      </c>
      <c r="AJ121" s="1">
        <v>12.264850259999999</v>
      </c>
      <c r="AK121" s="1">
        <v>61.467559430000001</v>
      </c>
      <c r="AL121" s="1">
        <v>53.81893548</v>
      </c>
      <c r="AM121" s="1">
        <v>17.272657209999998</v>
      </c>
      <c r="AN121" s="1">
        <v>3.6950179599999999</v>
      </c>
      <c r="AO121" s="1">
        <v>27.423299979999999</v>
      </c>
      <c r="AP121" s="1">
        <v>10.176483380000001</v>
      </c>
      <c r="AQ121" s="1">
        <v>189.15888899999999</v>
      </c>
      <c r="AR121" s="1">
        <v>727.76460540000005</v>
      </c>
    </row>
    <row r="122" spans="1:44">
      <c r="A122" s="1">
        <v>2017</v>
      </c>
      <c r="B122" s="1" t="s">
        <v>44</v>
      </c>
      <c r="C122" s="1" t="s">
        <v>60</v>
      </c>
      <c r="D122" s="1">
        <v>873</v>
      </c>
      <c r="E122" s="1">
        <v>3219.0120120000001</v>
      </c>
      <c r="F122" s="1">
        <v>1251.13877</v>
      </c>
      <c r="G122" s="1">
        <v>1496.1554430000001</v>
      </c>
      <c r="H122" s="1">
        <v>67.179148359999999</v>
      </c>
      <c r="I122" s="1">
        <v>8.0217501500000008</v>
      </c>
      <c r="J122" s="1">
        <v>2.4918700000000002E-3</v>
      </c>
      <c r="K122" s="1">
        <v>59.154906339999997</v>
      </c>
      <c r="L122" s="1">
        <v>2.4320605199999998</v>
      </c>
      <c r="M122" s="1">
        <v>2.1164095500000002</v>
      </c>
      <c r="N122" s="1">
        <v>23.824207390000002</v>
      </c>
      <c r="O122" s="1">
        <v>429.83107239999998</v>
      </c>
      <c r="P122" s="1">
        <v>10.107778980000001</v>
      </c>
      <c r="Q122" s="1">
        <v>5.9784047200000003</v>
      </c>
      <c r="R122" s="1">
        <v>4.1293742599999996</v>
      </c>
      <c r="S122" s="1">
        <v>0</v>
      </c>
      <c r="T122" s="1">
        <v>2.58016836</v>
      </c>
      <c r="U122" s="1">
        <v>2680.941167</v>
      </c>
      <c r="V122" s="1">
        <v>728.18878380000001</v>
      </c>
      <c r="W122" s="1">
        <v>2.740116</v>
      </c>
      <c r="X122" s="1">
        <v>725.44866779999995</v>
      </c>
      <c r="Y122" s="1">
        <v>0.46482858999999999</v>
      </c>
      <c r="Z122" s="1">
        <v>725.52685069999995</v>
      </c>
      <c r="AA122" s="1">
        <v>599.92936599999996</v>
      </c>
      <c r="AB122" s="1">
        <v>115.30704179999999</v>
      </c>
      <c r="AC122" s="1">
        <v>11.432017849999999</v>
      </c>
      <c r="AD122" s="1">
        <v>1339.2380889999999</v>
      </c>
      <c r="AE122" s="1">
        <v>168.12842470000001</v>
      </c>
      <c r="AF122" s="1">
        <v>33155.082710000002</v>
      </c>
      <c r="AG122" s="1">
        <v>150.9752067</v>
      </c>
      <c r="AH122" s="1">
        <v>54.074951149999997</v>
      </c>
      <c r="AI122" s="1">
        <v>0</v>
      </c>
      <c r="AJ122" s="1">
        <v>6.2979333500000001</v>
      </c>
      <c r="AK122" s="1">
        <v>26.150808770000001</v>
      </c>
      <c r="AL122" s="1">
        <v>29.438871559999999</v>
      </c>
      <c r="AM122" s="1">
        <v>5.9896547900000003</v>
      </c>
      <c r="AN122" s="1">
        <v>4.1293742599999996</v>
      </c>
      <c r="AO122" s="1">
        <v>12.949491950000001</v>
      </c>
      <c r="AP122" s="1">
        <v>0.18260014999999999</v>
      </c>
      <c r="AQ122" s="1">
        <v>52.089000079999998</v>
      </c>
      <c r="AR122" s="1">
        <v>369.31282160000001</v>
      </c>
    </row>
    <row r="123" spans="1:44">
      <c r="A123" s="1">
        <v>2017</v>
      </c>
      <c r="B123" s="1" t="s">
        <v>44</v>
      </c>
      <c r="C123" s="1" t="s">
        <v>61</v>
      </c>
      <c r="D123" s="1">
        <v>1338</v>
      </c>
      <c r="E123" s="1">
        <v>13025.314329999999</v>
      </c>
      <c r="F123" s="1">
        <v>4459.019542</v>
      </c>
      <c r="G123" s="1">
        <v>11033.72193</v>
      </c>
      <c r="H123" s="1">
        <v>313.16830579999998</v>
      </c>
      <c r="I123" s="1">
        <v>15.98510471</v>
      </c>
      <c r="J123" s="1">
        <v>0</v>
      </c>
      <c r="K123" s="1">
        <v>297.18320110000002</v>
      </c>
      <c r="L123" s="1">
        <v>3.9677395199999999</v>
      </c>
      <c r="M123" s="1">
        <v>3.3634003099999998</v>
      </c>
      <c r="N123" s="1">
        <v>40.812125250000001</v>
      </c>
      <c r="O123" s="1">
        <v>1802.8032659999999</v>
      </c>
      <c r="P123" s="1">
        <v>25.91677512</v>
      </c>
      <c r="Q123" s="1">
        <v>21.759852500000001</v>
      </c>
      <c r="R123" s="1">
        <v>4.1569226199999996</v>
      </c>
      <c r="S123" s="1">
        <v>0</v>
      </c>
      <c r="T123" s="1">
        <v>3.0827985600000001</v>
      </c>
      <c r="U123" s="1">
        <v>10832.199919999999</v>
      </c>
      <c r="V123" s="1">
        <v>2964.935649</v>
      </c>
      <c r="W123" s="1">
        <v>25.522643089999999</v>
      </c>
      <c r="X123" s="1">
        <v>2939.4130060000002</v>
      </c>
      <c r="Y123" s="1">
        <v>2.1396940899999999</v>
      </c>
      <c r="Z123" s="1">
        <v>2940.9488809999998</v>
      </c>
      <c r="AA123" s="1">
        <v>2362.8800299999998</v>
      </c>
      <c r="AB123" s="1">
        <v>421.85710799999998</v>
      </c>
      <c r="AC123" s="1">
        <v>51.153579749999999</v>
      </c>
      <c r="AD123" s="1">
        <v>7698.5462200000002</v>
      </c>
      <c r="AE123" s="1">
        <v>5008.6831030000003</v>
      </c>
      <c r="AF123" s="1">
        <v>131216.23060000001</v>
      </c>
      <c r="AG123" s="1">
        <v>437.05761419999999</v>
      </c>
      <c r="AH123" s="1">
        <v>277.58779099999998</v>
      </c>
      <c r="AI123" s="1">
        <v>0</v>
      </c>
      <c r="AJ123" s="1">
        <v>34.028862850000003</v>
      </c>
      <c r="AK123" s="1">
        <v>47.56597936</v>
      </c>
      <c r="AL123" s="1">
        <v>52.467444190000002</v>
      </c>
      <c r="AM123" s="1">
        <v>22.081441099999999</v>
      </c>
      <c r="AN123" s="1">
        <v>4.1569226199999996</v>
      </c>
      <c r="AO123" s="1">
        <v>22.065027239999999</v>
      </c>
      <c r="AP123" s="1">
        <v>3.25000387</v>
      </c>
      <c r="AQ123" s="1">
        <v>302.47770969999999</v>
      </c>
      <c r="AR123" s="1">
        <v>1431.8290260000001</v>
      </c>
    </row>
    <row r="124" spans="1:44">
      <c r="A124" s="1">
        <v>2017</v>
      </c>
      <c r="B124" s="1" t="s">
        <v>62</v>
      </c>
      <c r="C124" s="1" t="s">
        <v>45</v>
      </c>
      <c r="D124" s="1">
        <v>1160172</v>
      </c>
      <c r="E124" s="1">
        <v>2275.5901060000001</v>
      </c>
      <c r="F124" s="1">
        <v>10553.609570000001</v>
      </c>
      <c r="G124" s="1">
        <v>57065.526129999998</v>
      </c>
      <c r="H124" s="1">
        <v>229.5951776</v>
      </c>
      <c r="I124" s="1">
        <v>216.82262600000001</v>
      </c>
      <c r="J124" s="1">
        <v>0.86187546999999998</v>
      </c>
      <c r="K124" s="1">
        <v>11.91067615</v>
      </c>
      <c r="L124" s="1">
        <v>127.1448836</v>
      </c>
      <c r="M124" s="1">
        <v>68.949296880000006</v>
      </c>
      <c r="N124" s="1">
        <v>909.4997803</v>
      </c>
      <c r="O124" s="1">
        <v>139.7074873</v>
      </c>
      <c r="P124" s="1">
        <v>9.2535211400000001</v>
      </c>
      <c r="Q124" s="1">
        <v>7.0195976499999997</v>
      </c>
      <c r="R124" s="1">
        <v>0.59120497999999999</v>
      </c>
      <c r="S124" s="1">
        <v>1.6427185099999999</v>
      </c>
      <c r="T124" s="1">
        <v>98.892306790000006</v>
      </c>
      <c r="U124" s="1">
        <v>692.54417809999995</v>
      </c>
      <c r="V124" s="1">
        <v>4.7102659999999998E-2</v>
      </c>
      <c r="W124" s="1">
        <v>0</v>
      </c>
      <c r="X124" s="1">
        <v>4.7102659999999998E-2</v>
      </c>
      <c r="Y124" s="1">
        <v>38.893308939999997</v>
      </c>
      <c r="Z124" s="1">
        <v>38.916636029999999</v>
      </c>
      <c r="AA124" s="1">
        <v>803.86377449999998</v>
      </c>
      <c r="AB124" s="1">
        <v>5.1796120600000002</v>
      </c>
      <c r="AC124" s="1">
        <v>770.91190640000002</v>
      </c>
      <c r="AD124" s="1">
        <v>25173.07287</v>
      </c>
      <c r="AE124" s="1">
        <v>10599.67942</v>
      </c>
      <c r="AF124" s="1">
        <v>356505.75349999999</v>
      </c>
      <c r="AG124" s="1">
        <v>4159.7529569999997</v>
      </c>
      <c r="AH124" s="1">
        <v>90.132376629999996</v>
      </c>
      <c r="AI124" s="1">
        <v>1.1318930199999999</v>
      </c>
      <c r="AJ124" s="1">
        <v>23.11976348</v>
      </c>
      <c r="AK124" s="1">
        <v>478.59751679999999</v>
      </c>
      <c r="AL124" s="1">
        <v>2828.7657389999999</v>
      </c>
      <c r="AM124" s="1">
        <v>19.55747002</v>
      </c>
      <c r="AN124" s="1">
        <v>1.65370715</v>
      </c>
      <c r="AO124" s="1">
        <v>403.3256897</v>
      </c>
      <c r="AP124" s="1">
        <v>10.77726234</v>
      </c>
      <c r="AQ124" s="1">
        <v>795.56970090000004</v>
      </c>
      <c r="AR124" s="1">
        <v>4058.458537</v>
      </c>
    </row>
    <row r="125" spans="1:44">
      <c r="A125" s="1">
        <v>2017</v>
      </c>
      <c r="B125" s="1" t="s">
        <v>62</v>
      </c>
      <c r="C125" s="1" t="s">
        <v>46</v>
      </c>
      <c r="D125" s="1">
        <v>716394</v>
      </c>
      <c r="E125" s="1">
        <v>8575.9806879999996</v>
      </c>
      <c r="F125" s="1">
        <v>2628.6577299999999</v>
      </c>
      <c r="G125" s="1">
        <v>23626.501769999999</v>
      </c>
      <c r="H125" s="1">
        <v>211.25037889999999</v>
      </c>
      <c r="I125" s="1">
        <v>200.592052</v>
      </c>
      <c r="J125" s="1">
        <v>0.31398543000000001</v>
      </c>
      <c r="K125" s="1">
        <v>10.34434139</v>
      </c>
      <c r="L125" s="1">
        <v>126.39661959999999</v>
      </c>
      <c r="M125" s="1">
        <v>65.358812080000007</v>
      </c>
      <c r="N125" s="1">
        <v>575.34377710000001</v>
      </c>
      <c r="O125" s="1">
        <v>88.481802329999994</v>
      </c>
      <c r="P125" s="1">
        <v>3.16823393</v>
      </c>
      <c r="Q125" s="1">
        <v>2.3480485400000002</v>
      </c>
      <c r="R125" s="1">
        <v>0.13006155999999999</v>
      </c>
      <c r="S125" s="1">
        <v>0.69012382999999999</v>
      </c>
      <c r="T125" s="1">
        <v>1106.451096</v>
      </c>
      <c r="U125" s="1">
        <v>6399.5299679999998</v>
      </c>
      <c r="V125" s="1">
        <v>0.15033506999999999</v>
      </c>
      <c r="W125" s="1">
        <v>0</v>
      </c>
      <c r="X125" s="1">
        <v>0.15033506999999999</v>
      </c>
      <c r="Y125" s="1">
        <v>7.2408308000000003</v>
      </c>
      <c r="Z125" s="1">
        <v>7.3851812800000003</v>
      </c>
      <c r="AA125" s="1">
        <v>77.714808790000006</v>
      </c>
      <c r="AB125" s="1">
        <v>0.80168739</v>
      </c>
      <c r="AC125" s="1">
        <v>71.558098009999995</v>
      </c>
      <c r="AD125" s="1">
        <v>8681.8217559999994</v>
      </c>
      <c r="AE125" s="1">
        <v>2583.1296560000001</v>
      </c>
      <c r="AF125" s="1">
        <v>119471.24800000001</v>
      </c>
      <c r="AG125" s="1">
        <v>1160.3199440000001</v>
      </c>
      <c r="AH125" s="1">
        <v>37.9062743</v>
      </c>
      <c r="AI125" s="1">
        <v>0.51147456000000002</v>
      </c>
      <c r="AJ125" s="1">
        <v>8.6650363699999993</v>
      </c>
      <c r="AK125" s="1">
        <v>242.94039280000001</v>
      </c>
      <c r="AL125" s="1">
        <v>949.44856419999996</v>
      </c>
      <c r="AM125" s="1">
        <v>3.1403308000000001</v>
      </c>
      <c r="AN125" s="1">
        <v>0.15561382000000001</v>
      </c>
      <c r="AO125" s="1">
        <v>100.9298761</v>
      </c>
      <c r="AP125" s="1">
        <v>1.1289594700000001</v>
      </c>
      <c r="AQ125" s="1">
        <v>242.17721220000001</v>
      </c>
      <c r="AR125" s="1">
        <v>803.22743000000003</v>
      </c>
    </row>
    <row r="126" spans="1:44">
      <c r="A126" s="1">
        <v>2017</v>
      </c>
      <c r="B126" s="1" t="s">
        <v>62</v>
      </c>
      <c r="C126" s="1" t="s">
        <v>47</v>
      </c>
      <c r="D126" s="1">
        <v>2234861</v>
      </c>
      <c r="E126" s="1">
        <v>54205.245219999997</v>
      </c>
      <c r="F126" s="1">
        <v>7487.7493320000003</v>
      </c>
      <c r="G126" s="1">
        <v>37406.982920000002</v>
      </c>
      <c r="H126" s="1">
        <v>1403.271753</v>
      </c>
      <c r="I126" s="1">
        <v>1337.898647</v>
      </c>
      <c r="J126" s="1">
        <v>2.1377595999999999</v>
      </c>
      <c r="K126" s="1">
        <v>63.235345969999997</v>
      </c>
      <c r="L126" s="1">
        <v>1167.0910140000001</v>
      </c>
      <c r="M126" s="1">
        <v>671.46713669999997</v>
      </c>
      <c r="N126" s="1">
        <v>2748.6293970000002</v>
      </c>
      <c r="O126" s="1">
        <v>359.64421110000001</v>
      </c>
      <c r="P126" s="1">
        <v>16.639994290000001</v>
      </c>
      <c r="Q126" s="1">
        <v>13.885269920000001</v>
      </c>
      <c r="R126" s="1">
        <v>1.6996562799999999</v>
      </c>
      <c r="S126" s="1">
        <v>1.05506809</v>
      </c>
      <c r="T126" s="1">
        <v>6752.7475459999996</v>
      </c>
      <c r="U126" s="1">
        <v>41085.75417</v>
      </c>
      <c r="V126" s="1">
        <v>0.91429508000000004</v>
      </c>
      <c r="W126" s="1">
        <v>1.0200000000000001E-5</v>
      </c>
      <c r="X126" s="1">
        <v>0.91428487999999997</v>
      </c>
      <c r="Y126" s="1">
        <v>13.89272559</v>
      </c>
      <c r="Z126" s="1">
        <v>14.7768991</v>
      </c>
      <c r="AA126" s="1">
        <v>3344.3544440000001</v>
      </c>
      <c r="AB126" s="1">
        <v>1.8265756500000001</v>
      </c>
      <c r="AC126" s="1">
        <v>3334.6504030000001</v>
      </c>
      <c r="AD126" s="1">
        <v>19587.02262</v>
      </c>
      <c r="AE126" s="1">
        <v>4952.8362459999998</v>
      </c>
      <c r="AF126" s="1">
        <v>282922.1778</v>
      </c>
      <c r="AG126" s="1">
        <v>2787.1132360000001</v>
      </c>
      <c r="AH126" s="1">
        <v>116.0500509</v>
      </c>
      <c r="AI126" s="1">
        <v>3.07323719</v>
      </c>
      <c r="AJ126" s="1">
        <v>32.662495560000004</v>
      </c>
      <c r="AK126" s="1">
        <v>1530.3132800000001</v>
      </c>
      <c r="AL126" s="1">
        <v>3980.9608290000001</v>
      </c>
      <c r="AM126" s="1">
        <v>16.378982010000001</v>
      </c>
      <c r="AN126" s="1">
        <v>1.8925020800000001</v>
      </c>
      <c r="AO126" s="1">
        <v>268.53438369999998</v>
      </c>
      <c r="AP126" s="1">
        <v>4.4043284900000002</v>
      </c>
      <c r="AQ126" s="1">
        <v>506.10122790000003</v>
      </c>
      <c r="AR126" s="1">
        <v>1474.2398840000001</v>
      </c>
    </row>
    <row r="127" spans="1:44">
      <c r="A127" s="1">
        <v>2017</v>
      </c>
      <c r="B127" s="1" t="s">
        <v>62</v>
      </c>
      <c r="C127" s="1" t="s">
        <v>48</v>
      </c>
      <c r="D127" s="1">
        <v>3164717</v>
      </c>
      <c r="E127" s="1">
        <v>113693.13890000001</v>
      </c>
      <c r="F127" s="1">
        <v>11821.67337</v>
      </c>
      <c r="G127" s="1">
        <v>30708.452740000001</v>
      </c>
      <c r="H127" s="1">
        <v>3599.7078969999998</v>
      </c>
      <c r="I127" s="1">
        <v>3412.7056400000001</v>
      </c>
      <c r="J127" s="1">
        <v>3.4150553800000001</v>
      </c>
      <c r="K127" s="1">
        <v>183.5872019</v>
      </c>
      <c r="L127" s="1">
        <v>2541.9036569999998</v>
      </c>
      <c r="M127" s="1">
        <v>1746.785226</v>
      </c>
      <c r="N127" s="1">
        <v>5078.6201389999997</v>
      </c>
      <c r="O127" s="1">
        <v>652.43360299999995</v>
      </c>
      <c r="P127" s="1">
        <v>33.65241348</v>
      </c>
      <c r="Q127" s="1">
        <v>29.72254337</v>
      </c>
      <c r="R127" s="1">
        <v>3.01613708</v>
      </c>
      <c r="S127" s="1">
        <v>0.91373302999999995</v>
      </c>
      <c r="T127" s="1">
        <v>14404.665800000001</v>
      </c>
      <c r="U127" s="1">
        <v>85635.370129999996</v>
      </c>
      <c r="V127" s="1">
        <v>1005.031087</v>
      </c>
      <c r="W127" s="1">
        <v>7.6245250000000001E-2</v>
      </c>
      <c r="X127" s="1">
        <v>1004.954842</v>
      </c>
      <c r="Y127" s="1">
        <v>16.518866320000001</v>
      </c>
      <c r="Z127" s="1">
        <v>1012.088723</v>
      </c>
      <c r="AA127" s="1">
        <v>2535.2003209999998</v>
      </c>
      <c r="AB127" s="1">
        <v>194.4872872</v>
      </c>
      <c r="AC127" s="1">
        <v>1731.532199</v>
      </c>
      <c r="AD127" s="1">
        <v>26769.228490000001</v>
      </c>
      <c r="AE127" s="1">
        <v>3954.9116560000002</v>
      </c>
      <c r="AF127" s="1">
        <v>311517.04440000001</v>
      </c>
      <c r="AG127" s="1">
        <v>24763.53096</v>
      </c>
      <c r="AH127" s="1">
        <v>220.91927190000001</v>
      </c>
      <c r="AI127" s="1">
        <v>3.8130535399999999</v>
      </c>
      <c r="AJ127" s="1">
        <v>71.212933750000005</v>
      </c>
      <c r="AK127" s="1">
        <v>3461.8767419999999</v>
      </c>
      <c r="AL127" s="1">
        <v>6285.9069040000004</v>
      </c>
      <c r="AM127" s="1">
        <v>31.689469599999999</v>
      </c>
      <c r="AN127" s="1">
        <v>3.1197304099999998</v>
      </c>
      <c r="AO127" s="1">
        <v>289.1740332</v>
      </c>
      <c r="AP127" s="1">
        <v>4.7880485699999999</v>
      </c>
      <c r="AQ127" s="1">
        <v>773.74840859999995</v>
      </c>
      <c r="AR127" s="1">
        <v>1153.0784779999999</v>
      </c>
    </row>
    <row r="128" spans="1:44">
      <c r="A128" s="1">
        <v>2017</v>
      </c>
      <c r="B128" s="1" t="s">
        <v>62</v>
      </c>
      <c r="C128" s="1" t="s">
        <v>49</v>
      </c>
      <c r="D128" s="1">
        <v>2686150</v>
      </c>
      <c r="E128" s="1">
        <v>152649.49309999999</v>
      </c>
      <c r="F128" s="1">
        <v>17545.47997</v>
      </c>
      <c r="G128" s="1">
        <v>38709.114459999997</v>
      </c>
      <c r="H128" s="1">
        <v>5275.9356330000001</v>
      </c>
      <c r="I128" s="1">
        <v>4863.9846200000002</v>
      </c>
      <c r="J128" s="1">
        <v>4.7179401099999998</v>
      </c>
      <c r="K128" s="1">
        <v>407.23307299999999</v>
      </c>
      <c r="L128" s="1">
        <v>2575.0629479999998</v>
      </c>
      <c r="M128" s="1">
        <v>2097.5281300000001</v>
      </c>
      <c r="N128" s="1">
        <v>6800.9967370000004</v>
      </c>
      <c r="O128" s="1">
        <v>854.08739949999995</v>
      </c>
      <c r="P128" s="1">
        <v>55.573728819999999</v>
      </c>
      <c r="Q128" s="1">
        <v>48.55815578</v>
      </c>
      <c r="R128" s="1">
        <v>6.4672308599999999</v>
      </c>
      <c r="S128" s="1">
        <v>0.54834218000000001</v>
      </c>
      <c r="T128" s="1">
        <v>18939.50561</v>
      </c>
      <c r="U128" s="1">
        <v>116050.803</v>
      </c>
      <c r="V128" s="1">
        <v>6373.6413320000001</v>
      </c>
      <c r="W128" s="1">
        <v>0.93039691999999996</v>
      </c>
      <c r="X128" s="1">
        <v>6372.7109350000001</v>
      </c>
      <c r="Y128" s="1">
        <v>30.121497609999999</v>
      </c>
      <c r="Z128" s="1">
        <v>6348.8323309999996</v>
      </c>
      <c r="AA128" s="1">
        <v>8069.7099319999998</v>
      </c>
      <c r="AB128" s="1">
        <v>1192.8533669999999</v>
      </c>
      <c r="AC128" s="1">
        <v>2975.7111989999999</v>
      </c>
      <c r="AD128" s="1">
        <v>34075.268029999999</v>
      </c>
      <c r="AE128" s="1">
        <v>4964.3289990000003</v>
      </c>
      <c r="AF128" s="1">
        <v>362733.97139999998</v>
      </c>
      <c r="AG128" s="1">
        <v>4044.8582580000002</v>
      </c>
      <c r="AH128" s="1">
        <v>458.18162539999997</v>
      </c>
      <c r="AI128" s="1">
        <v>12.12990353</v>
      </c>
      <c r="AJ128" s="1">
        <v>145.2275051</v>
      </c>
      <c r="AK128" s="1">
        <v>4776.7411920000004</v>
      </c>
      <c r="AL128" s="1">
        <v>9193.4716189999999</v>
      </c>
      <c r="AM128" s="1">
        <v>52.081820739999998</v>
      </c>
      <c r="AN128" s="1">
        <v>6.6031516100000003</v>
      </c>
      <c r="AO128" s="1">
        <v>430.4018921</v>
      </c>
      <c r="AP128" s="1">
        <v>5.4447004999999997</v>
      </c>
      <c r="AQ128" s="1">
        <v>1244.8995070000001</v>
      </c>
      <c r="AR128" s="1">
        <v>1409.7342100000001</v>
      </c>
    </row>
    <row r="129" spans="1:44">
      <c r="A129" s="1">
        <v>2017</v>
      </c>
      <c r="B129" s="1" t="s">
        <v>62</v>
      </c>
      <c r="C129" s="1" t="s">
        <v>50</v>
      </c>
      <c r="D129" s="1">
        <v>1055763</v>
      </c>
      <c r="E129" s="1">
        <v>89940.405629999994</v>
      </c>
      <c r="F129" s="1">
        <v>10524.310600000001</v>
      </c>
      <c r="G129" s="1">
        <v>20966.211869999999</v>
      </c>
      <c r="H129" s="1">
        <v>3076.2677739999999</v>
      </c>
      <c r="I129" s="1">
        <v>2709.0832650000002</v>
      </c>
      <c r="J129" s="1">
        <v>2.5352376099999998</v>
      </c>
      <c r="K129" s="1">
        <v>364.64927139999998</v>
      </c>
      <c r="L129" s="1">
        <v>1093.355671</v>
      </c>
      <c r="M129" s="1">
        <v>1053.8863859999999</v>
      </c>
      <c r="N129" s="1">
        <v>3989.5842969999999</v>
      </c>
      <c r="O129" s="1">
        <v>538.63547029999995</v>
      </c>
      <c r="P129" s="1">
        <v>43.36404624</v>
      </c>
      <c r="Q129" s="1">
        <v>37.653728819999998</v>
      </c>
      <c r="R129" s="1">
        <v>5.2289474499999997</v>
      </c>
      <c r="S129" s="1">
        <v>0.48136996999999998</v>
      </c>
      <c r="T129" s="1">
        <v>10781.99438</v>
      </c>
      <c r="U129" s="1">
        <v>69363.317599999995</v>
      </c>
      <c r="V129" s="1">
        <v>8062.9320200000002</v>
      </c>
      <c r="W129" s="1">
        <v>1.63768618</v>
      </c>
      <c r="X129" s="1">
        <v>8061.2943340000002</v>
      </c>
      <c r="Y129" s="1">
        <v>25.081717340000001</v>
      </c>
      <c r="Z129" s="1">
        <v>8051.0015899999999</v>
      </c>
      <c r="AA129" s="1">
        <v>8232.8405839999996</v>
      </c>
      <c r="AB129" s="1">
        <v>1464.084124</v>
      </c>
      <c r="AC129" s="1">
        <v>1710.006846</v>
      </c>
      <c r="AD129" s="1">
        <v>80602.737399999998</v>
      </c>
      <c r="AE129" s="1">
        <v>2866.8821899999998</v>
      </c>
      <c r="AF129" s="1">
        <v>209701.9424</v>
      </c>
      <c r="AG129" s="1">
        <v>2380.0626609999999</v>
      </c>
      <c r="AH129" s="1">
        <v>421.73280449999999</v>
      </c>
      <c r="AI129" s="1">
        <v>12.406026949999999</v>
      </c>
      <c r="AJ129" s="1">
        <v>130.66977940000001</v>
      </c>
      <c r="AK129" s="1">
        <v>2790.01656</v>
      </c>
      <c r="AL129" s="1">
        <v>5630.3631420000002</v>
      </c>
      <c r="AM129" s="1">
        <v>40.336398770000002</v>
      </c>
      <c r="AN129" s="1">
        <v>5.3261531</v>
      </c>
      <c r="AO129" s="1">
        <v>272.90484149999997</v>
      </c>
      <c r="AP129" s="1">
        <v>3.6769942900000001</v>
      </c>
      <c r="AQ129" s="1">
        <v>806.21686690000001</v>
      </c>
      <c r="AR129" s="1">
        <v>1132.0205189999999</v>
      </c>
    </row>
    <row r="130" spans="1:44">
      <c r="A130" s="1">
        <v>2017</v>
      </c>
      <c r="B130" s="1" t="s">
        <v>62</v>
      </c>
      <c r="C130" s="1" t="s">
        <v>51</v>
      </c>
      <c r="D130" s="1">
        <v>717359</v>
      </c>
      <c r="E130" s="1">
        <v>83367.049759999994</v>
      </c>
      <c r="F130" s="1">
        <v>10434.880870000001</v>
      </c>
      <c r="G130" s="1">
        <v>18677.62371</v>
      </c>
      <c r="H130" s="1">
        <v>3723.5444480000001</v>
      </c>
      <c r="I130" s="1">
        <v>3136.5641479999999</v>
      </c>
      <c r="J130" s="1">
        <v>2.5563093600000002</v>
      </c>
      <c r="K130" s="1">
        <v>584.42399030000001</v>
      </c>
      <c r="L130" s="1">
        <v>845.70638810000003</v>
      </c>
      <c r="M130" s="1">
        <v>836.93708160000006</v>
      </c>
      <c r="N130" s="1">
        <v>4128.2895109999999</v>
      </c>
      <c r="O130" s="1">
        <v>509.56061790000001</v>
      </c>
      <c r="P130" s="1">
        <v>47.220060070000002</v>
      </c>
      <c r="Q130" s="1">
        <v>41.714781909999999</v>
      </c>
      <c r="R130" s="1">
        <v>5.2085430800000001</v>
      </c>
      <c r="S130" s="1">
        <v>0.29673507999999998</v>
      </c>
      <c r="T130" s="1">
        <v>6161.106957</v>
      </c>
      <c r="U130" s="1">
        <v>67114.684699999998</v>
      </c>
      <c r="V130" s="1">
        <v>10974.43136</v>
      </c>
      <c r="W130" s="1">
        <v>3.4258935799999999</v>
      </c>
      <c r="X130" s="1">
        <v>10971.00547</v>
      </c>
      <c r="Y130" s="1">
        <v>34.224450230000002</v>
      </c>
      <c r="Z130" s="1">
        <v>10962.08908</v>
      </c>
      <c r="AA130" s="1">
        <v>10412.746230000001</v>
      </c>
      <c r="AB130" s="1">
        <v>1670.186492</v>
      </c>
      <c r="AC130" s="1">
        <v>1188.9490960000001</v>
      </c>
      <c r="AD130" s="1">
        <v>18112.068609999998</v>
      </c>
      <c r="AE130" s="1">
        <v>2644.1773720000001</v>
      </c>
      <c r="AF130" s="1">
        <v>209609.91190000001</v>
      </c>
      <c r="AG130" s="1">
        <v>2598.5711970000002</v>
      </c>
      <c r="AH130" s="1">
        <v>570.5909729</v>
      </c>
      <c r="AI130" s="1">
        <v>26.027860950000001</v>
      </c>
      <c r="AJ130" s="1">
        <v>175.73141580000001</v>
      </c>
      <c r="AK130" s="1">
        <v>2430.192994</v>
      </c>
      <c r="AL130" s="1">
        <v>5151.4695300000003</v>
      </c>
      <c r="AM130" s="1">
        <v>43.050964389999997</v>
      </c>
      <c r="AN130" s="1">
        <v>5.35229949</v>
      </c>
      <c r="AO130" s="1">
        <v>272.89597409999999</v>
      </c>
      <c r="AP130" s="1">
        <v>3.4073437800000002</v>
      </c>
      <c r="AQ130" s="1">
        <v>795.7437175</v>
      </c>
      <c r="AR130" s="1">
        <v>970.09239920000005</v>
      </c>
    </row>
    <row r="131" spans="1:44">
      <c r="A131" s="1">
        <v>2017</v>
      </c>
      <c r="B131" s="1" t="s">
        <v>62</v>
      </c>
      <c r="C131" s="1" t="s">
        <v>52</v>
      </c>
      <c r="D131" s="1">
        <v>487084</v>
      </c>
      <c r="E131" s="1">
        <v>79296.485549999998</v>
      </c>
      <c r="F131" s="1">
        <v>10379.339089999999</v>
      </c>
      <c r="G131" s="1">
        <v>17962.164529999998</v>
      </c>
      <c r="H131" s="1">
        <v>4549.0588289999996</v>
      </c>
      <c r="I131" s="1">
        <v>3673.507372</v>
      </c>
      <c r="J131" s="1">
        <v>2.69061993</v>
      </c>
      <c r="K131" s="1">
        <v>872.86083670000005</v>
      </c>
      <c r="L131" s="1">
        <v>601.46744980000005</v>
      </c>
      <c r="M131" s="1">
        <v>599.63228630000003</v>
      </c>
      <c r="N131" s="1">
        <v>3968.5274399999998</v>
      </c>
      <c r="O131" s="1">
        <v>549.92122959999995</v>
      </c>
      <c r="P131" s="1">
        <v>44.325431199999997</v>
      </c>
      <c r="Q131" s="1">
        <v>40.16764689</v>
      </c>
      <c r="R131" s="1">
        <v>3.8804277599999999</v>
      </c>
      <c r="S131" s="1">
        <v>0.27735654999999998</v>
      </c>
      <c r="T131" s="1">
        <v>2840.3967689999999</v>
      </c>
      <c r="U131" s="1">
        <v>66143.156109999996</v>
      </c>
      <c r="V131" s="1">
        <v>13109.228230000001</v>
      </c>
      <c r="W131" s="1">
        <v>6.9059164400000004</v>
      </c>
      <c r="X131" s="1">
        <v>13102.32231</v>
      </c>
      <c r="Y131" s="1">
        <v>45.341386350000001</v>
      </c>
      <c r="Z131" s="1">
        <v>13091.687879999999</v>
      </c>
      <c r="AA131" s="1">
        <v>12224.36951</v>
      </c>
      <c r="AB131" s="1">
        <v>1609.381889</v>
      </c>
      <c r="AC131" s="1">
        <v>816.30297140000005</v>
      </c>
      <c r="AD131" s="1">
        <v>17849.765090000001</v>
      </c>
      <c r="AE131" s="1">
        <v>2589.083854</v>
      </c>
      <c r="AF131" s="1">
        <v>239108.94510000001</v>
      </c>
      <c r="AG131" s="1">
        <v>3458.1659119999999</v>
      </c>
      <c r="AH131" s="1">
        <v>774.80250980000005</v>
      </c>
      <c r="AI131" s="1">
        <v>33.825144860000002</v>
      </c>
      <c r="AJ131" s="1">
        <v>212.2528484</v>
      </c>
      <c r="AK131" s="1">
        <v>2055.2546779999998</v>
      </c>
      <c r="AL131" s="1">
        <v>4519.9411899999996</v>
      </c>
      <c r="AM131" s="1">
        <v>40.888376819999998</v>
      </c>
      <c r="AN131" s="1">
        <v>3.9611194099999998</v>
      </c>
      <c r="AO131" s="1">
        <v>285.10735970000002</v>
      </c>
      <c r="AP131" s="1">
        <v>2.51097627</v>
      </c>
      <c r="AQ131" s="1">
        <v>846.44255320000002</v>
      </c>
      <c r="AR131" s="1">
        <v>1283.6449009999999</v>
      </c>
    </row>
    <row r="132" spans="1:44">
      <c r="A132" s="1">
        <v>2017</v>
      </c>
      <c r="B132" s="1" t="s">
        <v>62</v>
      </c>
      <c r="C132" s="1" t="s">
        <v>53</v>
      </c>
      <c r="D132" s="1">
        <v>199594</v>
      </c>
      <c r="E132" s="1">
        <v>45404.265079999997</v>
      </c>
      <c r="F132" s="1">
        <v>6186.6586269999998</v>
      </c>
      <c r="G132" s="1">
        <v>10748.391680000001</v>
      </c>
      <c r="H132" s="1">
        <v>3061.9622340000001</v>
      </c>
      <c r="I132" s="1">
        <v>2447.8741500000001</v>
      </c>
      <c r="J132" s="1">
        <v>1.6429871</v>
      </c>
      <c r="K132" s="1">
        <v>612.44509740000001</v>
      </c>
      <c r="L132" s="1">
        <v>245.9111221</v>
      </c>
      <c r="M132" s="1">
        <v>248.0635935</v>
      </c>
      <c r="N132" s="1">
        <v>2187.41759</v>
      </c>
      <c r="O132" s="1">
        <v>429.71324659999999</v>
      </c>
      <c r="P132" s="1">
        <v>30.331081780000002</v>
      </c>
      <c r="Q132" s="1">
        <v>27.554032960000001</v>
      </c>
      <c r="R132" s="1">
        <v>2.6554568700000001</v>
      </c>
      <c r="S132" s="1">
        <v>0.12159195</v>
      </c>
      <c r="T132" s="1">
        <v>690.11126460000003</v>
      </c>
      <c r="U132" s="1">
        <v>38510.754950000002</v>
      </c>
      <c r="V132" s="1">
        <v>8508.8090439999996</v>
      </c>
      <c r="W132" s="1">
        <v>6.5540103700000003</v>
      </c>
      <c r="X132" s="1">
        <v>8502.2550339999998</v>
      </c>
      <c r="Y132" s="1">
        <v>33.518080079999997</v>
      </c>
      <c r="Z132" s="1">
        <v>8497.4902020000009</v>
      </c>
      <c r="AA132" s="1">
        <v>8010.5625680000003</v>
      </c>
      <c r="AB132" s="1">
        <v>849.89656330000003</v>
      </c>
      <c r="AC132" s="1">
        <v>405.87934430000001</v>
      </c>
      <c r="AD132" s="1">
        <v>9488.2931389999994</v>
      </c>
      <c r="AE132" s="1">
        <v>2112.5873000000001</v>
      </c>
      <c r="AF132" s="1">
        <v>145494.63519999999</v>
      </c>
      <c r="AG132" s="1">
        <v>2253.7895819999999</v>
      </c>
      <c r="AH132" s="1">
        <v>527.56900069999995</v>
      </c>
      <c r="AI132" s="1">
        <v>16.334444309999999</v>
      </c>
      <c r="AJ132" s="1">
        <v>129.9067924</v>
      </c>
      <c r="AK132" s="1">
        <v>1015.233564</v>
      </c>
      <c r="AL132" s="1">
        <v>2376.1704930000001</v>
      </c>
      <c r="AM132" s="1">
        <v>27.83852993</v>
      </c>
      <c r="AN132" s="1">
        <v>2.6685358099999998</v>
      </c>
      <c r="AO132" s="1">
        <v>182.35194509999999</v>
      </c>
      <c r="AP132" s="1">
        <v>1.10931362</v>
      </c>
      <c r="AQ132" s="1">
        <v>508.05871409999997</v>
      </c>
      <c r="AR132" s="1">
        <v>800.07227590000002</v>
      </c>
    </row>
    <row r="133" spans="1:44">
      <c r="A133" s="1">
        <v>2017</v>
      </c>
      <c r="B133" s="1" t="s">
        <v>62</v>
      </c>
      <c r="C133" s="1" t="s">
        <v>54</v>
      </c>
      <c r="D133" s="1">
        <v>162643</v>
      </c>
      <c r="E133" s="1">
        <v>51668.582450000002</v>
      </c>
      <c r="F133" s="1">
        <v>8200.4864510000007</v>
      </c>
      <c r="G133" s="1">
        <v>12817.355670000001</v>
      </c>
      <c r="H133" s="1">
        <v>3869.3405539999999</v>
      </c>
      <c r="I133" s="1">
        <v>3177.040669</v>
      </c>
      <c r="J133" s="1">
        <v>1.8201114899999999</v>
      </c>
      <c r="K133" s="1">
        <v>690.47977300000002</v>
      </c>
      <c r="L133" s="1">
        <v>202.8893593</v>
      </c>
      <c r="M133" s="1">
        <v>210.69843460000001</v>
      </c>
      <c r="N133" s="1">
        <v>2345.6613710000001</v>
      </c>
      <c r="O133" s="1">
        <v>546.5328998</v>
      </c>
      <c r="P133" s="1">
        <v>38.265857750000002</v>
      </c>
      <c r="Q133" s="1">
        <v>35.616249920000001</v>
      </c>
      <c r="R133" s="1">
        <v>2.60602826</v>
      </c>
      <c r="S133" s="1">
        <v>4.3579569999999998E-2</v>
      </c>
      <c r="T133" s="1">
        <v>343.94984590000001</v>
      </c>
      <c r="U133" s="1">
        <v>44111.244129999999</v>
      </c>
      <c r="V133" s="1">
        <v>10434.405489999999</v>
      </c>
      <c r="W133" s="1">
        <v>10.994025840000001</v>
      </c>
      <c r="X133" s="1">
        <v>10423.411469999999</v>
      </c>
      <c r="Y133" s="1">
        <v>61.751238790000002</v>
      </c>
      <c r="Z133" s="1">
        <v>10438.019780000001</v>
      </c>
      <c r="AA133" s="1">
        <v>10011.998600000001</v>
      </c>
      <c r="AB133" s="1">
        <v>868.7399302</v>
      </c>
      <c r="AC133" s="1">
        <v>490.97633669999999</v>
      </c>
      <c r="AD133" s="1">
        <v>9891.3414479999992</v>
      </c>
      <c r="AE133" s="1">
        <v>2118.0339130000002</v>
      </c>
      <c r="AF133" s="1">
        <v>170458.0485</v>
      </c>
      <c r="AG133" s="1">
        <v>3038.2216429999999</v>
      </c>
      <c r="AH133" s="1">
        <v>596.24982250000005</v>
      </c>
      <c r="AI133" s="1">
        <v>18.546610269999999</v>
      </c>
      <c r="AJ133" s="1">
        <v>131.25677630000001</v>
      </c>
      <c r="AK133" s="1">
        <v>997.66021980000005</v>
      </c>
      <c r="AL133" s="1">
        <v>2512.1718230000001</v>
      </c>
      <c r="AM133" s="1">
        <v>35.73512848</v>
      </c>
      <c r="AN133" s="1">
        <v>2.6070235400000001</v>
      </c>
      <c r="AO133" s="1">
        <v>200.1293948</v>
      </c>
      <c r="AP133" s="1">
        <v>0.92528608999999995</v>
      </c>
      <c r="AQ133" s="1">
        <v>633.92188550000003</v>
      </c>
      <c r="AR133" s="1">
        <v>1420.0087410000001</v>
      </c>
    </row>
    <row r="134" spans="1:44">
      <c r="A134" s="1">
        <v>2017</v>
      </c>
      <c r="B134" s="1" t="s">
        <v>62</v>
      </c>
      <c r="C134" s="1" t="s">
        <v>55</v>
      </c>
      <c r="D134" s="1">
        <v>37890</v>
      </c>
      <c r="E134" s="1">
        <v>16444.11089</v>
      </c>
      <c r="F134" s="1">
        <v>2694.7835239999999</v>
      </c>
      <c r="G134" s="1">
        <v>6012.7054699999999</v>
      </c>
      <c r="H134" s="1">
        <v>1079.993054</v>
      </c>
      <c r="I134" s="1">
        <v>828.98563279999996</v>
      </c>
      <c r="J134" s="1">
        <v>1.11357894</v>
      </c>
      <c r="K134" s="1">
        <v>249.89384200000001</v>
      </c>
      <c r="L134" s="1">
        <v>46.14089748</v>
      </c>
      <c r="M134" s="1">
        <v>49.175971169999997</v>
      </c>
      <c r="N134" s="1">
        <v>574.13685620000001</v>
      </c>
      <c r="O134" s="1">
        <v>292.6052287</v>
      </c>
      <c r="P134" s="1">
        <v>8.0409384700000004</v>
      </c>
      <c r="Q134" s="1">
        <v>7.5613789899999997</v>
      </c>
      <c r="R134" s="1">
        <v>0.46219368999999999</v>
      </c>
      <c r="S134" s="1">
        <v>1.7365789999999999E-2</v>
      </c>
      <c r="T134" s="1">
        <v>77.254261740000004</v>
      </c>
      <c r="U134" s="1">
        <v>14316.76368</v>
      </c>
      <c r="V134" s="1">
        <v>3542.0283079999999</v>
      </c>
      <c r="W134" s="1">
        <v>5.2265643700000002</v>
      </c>
      <c r="X134" s="1">
        <v>3536.8017439999999</v>
      </c>
      <c r="Y134" s="1">
        <v>16.597494210000001</v>
      </c>
      <c r="Z134" s="1">
        <v>3539.3422540000001</v>
      </c>
      <c r="AA134" s="1">
        <v>3201.7686819999999</v>
      </c>
      <c r="AB134" s="1">
        <v>383.99968460000002</v>
      </c>
      <c r="AC134" s="1">
        <v>74.596058459999995</v>
      </c>
      <c r="AD134" s="1">
        <v>4352.9049100000002</v>
      </c>
      <c r="AE134" s="1">
        <v>1566.351064</v>
      </c>
      <c r="AF134" s="1">
        <v>63972.164790000003</v>
      </c>
      <c r="AG134" s="1">
        <v>1196.0267719999999</v>
      </c>
      <c r="AH134" s="1">
        <v>216.20466690000001</v>
      </c>
      <c r="AI134" s="1">
        <v>3.4919582600000001</v>
      </c>
      <c r="AJ134" s="1">
        <v>49.453190429999999</v>
      </c>
      <c r="AK134" s="1">
        <v>274.08321799999999</v>
      </c>
      <c r="AL134" s="1">
        <v>626.696506</v>
      </c>
      <c r="AM134" s="1">
        <v>7.6284510599999997</v>
      </c>
      <c r="AN134" s="1">
        <v>0.50248753999999995</v>
      </c>
      <c r="AO134" s="1">
        <v>81.863520870000002</v>
      </c>
      <c r="AP134" s="1">
        <v>0.77280941000000003</v>
      </c>
      <c r="AQ134" s="1">
        <v>279.17347530000001</v>
      </c>
      <c r="AR134" s="1">
        <v>593.26398489999997</v>
      </c>
    </row>
    <row r="135" spans="1:44">
      <c r="A135" s="1">
        <v>2017</v>
      </c>
      <c r="B135" s="1" t="s">
        <v>62</v>
      </c>
      <c r="C135" s="1" t="s">
        <v>56</v>
      </c>
      <c r="D135" s="1">
        <v>13998</v>
      </c>
      <c r="E135" s="1">
        <v>8402.2580319999997</v>
      </c>
      <c r="F135" s="1">
        <v>1841.66914</v>
      </c>
      <c r="G135" s="1">
        <v>4136.9074849999997</v>
      </c>
      <c r="H135" s="1">
        <v>388.416696</v>
      </c>
      <c r="I135" s="1">
        <v>234.14620550000001</v>
      </c>
      <c r="J135" s="1">
        <v>0.31679471999999997</v>
      </c>
      <c r="K135" s="1">
        <v>153.95369579999999</v>
      </c>
      <c r="L135" s="1">
        <v>16.362375360000001</v>
      </c>
      <c r="M135" s="1">
        <v>17.701025770000001</v>
      </c>
      <c r="N135" s="1">
        <v>227.18850939999999</v>
      </c>
      <c r="O135" s="1">
        <v>285.35837670000001</v>
      </c>
      <c r="P135" s="1">
        <v>3.13178695</v>
      </c>
      <c r="Q135" s="1">
        <v>2.8048114200000001</v>
      </c>
      <c r="R135" s="1">
        <v>0.26530599999999999</v>
      </c>
      <c r="S135" s="1">
        <v>6.166953E-2</v>
      </c>
      <c r="T135" s="1">
        <v>41.718306599999998</v>
      </c>
      <c r="U135" s="1">
        <v>7422.3809549999996</v>
      </c>
      <c r="V135" s="1">
        <v>1895.234357</v>
      </c>
      <c r="W135" s="1">
        <v>3.21502753</v>
      </c>
      <c r="X135" s="1">
        <v>1892.0193300000001</v>
      </c>
      <c r="Y135" s="1">
        <v>6.3404323299999996</v>
      </c>
      <c r="Z135" s="1">
        <v>1892.919181</v>
      </c>
      <c r="AA135" s="1">
        <v>1608.8285679999999</v>
      </c>
      <c r="AB135" s="1">
        <v>286.08451439999999</v>
      </c>
      <c r="AC135" s="1">
        <v>28.65140912</v>
      </c>
      <c r="AD135" s="1">
        <v>1821.5810610000001</v>
      </c>
      <c r="AE135" s="1">
        <v>1189.2015859999999</v>
      </c>
      <c r="AF135" s="1">
        <v>43480.478109999996</v>
      </c>
      <c r="AG135" s="1">
        <v>900.08468870000002</v>
      </c>
      <c r="AH135" s="1">
        <v>131.84090430000001</v>
      </c>
      <c r="AI135" s="1">
        <v>0.15718457999999999</v>
      </c>
      <c r="AJ135" s="1">
        <v>32.581204270000001</v>
      </c>
      <c r="AK135" s="1">
        <v>120.0760774</v>
      </c>
      <c r="AL135" s="1">
        <v>256.7456277</v>
      </c>
      <c r="AM135" s="1">
        <v>2.8117920199999999</v>
      </c>
      <c r="AN135" s="1">
        <v>0.26530599999999999</v>
      </c>
      <c r="AO135" s="1">
        <v>47.944158649999999</v>
      </c>
      <c r="AP135" s="1">
        <v>1.1494434099999999</v>
      </c>
      <c r="AQ135" s="1">
        <v>110.14575050000001</v>
      </c>
      <c r="AR135" s="1">
        <v>502.86925339999999</v>
      </c>
    </row>
    <row r="136" spans="1:44">
      <c r="A136" s="1">
        <v>2017</v>
      </c>
      <c r="B136" s="1" t="s">
        <v>62</v>
      </c>
      <c r="C136" s="1" t="s">
        <v>57</v>
      </c>
      <c r="D136" s="1">
        <v>3200</v>
      </c>
      <c r="E136" s="1">
        <v>2796.1815550000001</v>
      </c>
      <c r="F136" s="1">
        <v>702.09650160000001</v>
      </c>
      <c r="G136" s="1">
        <v>1600.9284339999999</v>
      </c>
      <c r="H136" s="1">
        <v>89.356762759999995</v>
      </c>
      <c r="I136" s="1">
        <v>36.441594619999996</v>
      </c>
      <c r="J136" s="1">
        <v>0.16374667000000001</v>
      </c>
      <c r="K136" s="1">
        <v>52.751421469999997</v>
      </c>
      <c r="L136" s="1">
        <v>3.8949369599999999</v>
      </c>
      <c r="M136" s="1">
        <v>4.4784631800000003</v>
      </c>
      <c r="N136" s="1">
        <v>55.169639349999997</v>
      </c>
      <c r="O136" s="1">
        <v>181.14406389999999</v>
      </c>
      <c r="P136" s="1">
        <v>0.83056940000000001</v>
      </c>
      <c r="Q136" s="1">
        <v>0.73523722000000002</v>
      </c>
      <c r="R136" s="1">
        <v>5.4066000000000003E-2</v>
      </c>
      <c r="S136" s="1">
        <v>4.126618E-2</v>
      </c>
      <c r="T136" s="1">
        <v>12.096633479999999</v>
      </c>
      <c r="U136" s="1">
        <v>2449.2104859999999</v>
      </c>
      <c r="V136" s="1">
        <v>640.22247049999999</v>
      </c>
      <c r="W136" s="1">
        <v>1.22349416</v>
      </c>
      <c r="X136" s="1">
        <v>638.99897629999998</v>
      </c>
      <c r="Y136" s="1">
        <v>1.5058429099999999</v>
      </c>
      <c r="Z136" s="1">
        <v>639.26129270000001</v>
      </c>
      <c r="AA136" s="1">
        <v>526.23538659999997</v>
      </c>
      <c r="AB136" s="1">
        <v>111.5978355</v>
      </c>
      <c r="AC136" s="1">
        <v>12.797314869999999</v>
      </c>
      <c r="AD136" s="1">
        <v>826.05865610000001</v>
      </c>
      <c r="AE136" s="1">
        <v>351.62007139999997</v>
      </c>
      <c r="AF136" s="1">
        <v>16194.689</v>
      </c>
      <c r="AG136" s="1">
        <v>316.20618780000001</v>
      </c>
      <c r="AH136" s="1">
        <v>44.463912890000003</v>
      </c>
      <c r="AI136" s="1">
        <v>1.8282699999999999E-2</v>
      </c>
      <c r="AJ136" s="1">
        <v>10.7870723</v>
      </c>
      <c r="AK136" s="1">
        <v>38.596663450000001</v>
      </c>
      <c r="AL136" s="1">
        <v>65.649122300000002</v>
      </c>
      <c r="AM136" s="1">
        <v>0.73523722000000002</v>
      </c>
      <c r="AN136" s="1">
        <v>5.4066000000000003E-2</v>
      </c>
      <c r="AO136" s="1">
        <v>22.962765900000001</v>
      </c>
      <c r="AP136" s="1">
        <v>0.20343584000000001</v>
      </c>
      <c r="AQ136" s="1">
        <v>52.176040180000001</v>
      </c>
      <c r="AR136" s="1">
        <v>236.78337920000001</v>
      </c>
    </row>
    <row r="137" spans="1:44">
      <c r="A137" s="1">
        <v>2017</v>
      </c>
      <c r="B137" s="1" t="s">
        <v>62</v>
      </c>
      <c r="C137" s="1" t="s">
        <v>58</v>
      </c>
      <c r="D137" s="1">
        <v>2315</v>
      </c>
      <c r="E137" s="1">
        <v>3290.122284</v>
      </c>
      <c r="F137" s="1">
        <v>1211.355499</v>
      </c>
      <c r="G137" s="1">
        <v>2596.504625</v>
      </c>
      <c r="H137" s="1">
        <v>67.579732269999994</v>
      </c>
      <c r="I137" s="1">
        <v>16.249676919999999</v>
      </c>
      <c r="J137" s="1">
        <v>1.813213E-2</v>
      </c>
      <c r="K137" s="1">
        <v>51.311923219999997</v>
      </c>
      <c r="L137" s="1">
        <v>2.5298889600000001</v>
      </c>
      <c r="M137" s="1">
        <v>2.8338719999999999</v>
      </c>
      <c r="N137" s="1">
        <v>43.324613659999997</v>
      </c>
      <c r="O137" s="1">
        <v>404.53217039999998</v>
      </c>
      <c r="P137" s="1">
        <v>0.3267796</v>
      </c>
      <c r="Q137" s="1">
        <v>0.25292510000000001</v>
      </c>
      <c r="R137" s="1">
        <v>7.3854500000000003E-2</v>
      </c>
      <c r="S137" s="1">
        <v>0</v>
      </c>
      <c r="T137" s="1">
        <v>9.9018149399999995</v>
      </c>
      <c r="U137" s="1">
        <v>2759.0934120000002</v>
      </c>
      <c r="V137" s="1">
        <v>734.65027910000003</v>
      </c>
      <c r="W137" s="1">
        <v>1.6433685200000001</v>
      </c>
      <c r="X137" s="1">
        <v>733.00691059999997</v>
      </c>
      <c r="Y137" s="1">
        <v>0.47521851999999998</v>
      </c>
      <c r="Z137" s="1">
        <v>732.51183449999996</v>
      </c>
      <c r="AA137" s="1">
        <v>569.36483269999997</v>
      </c>
      <c r="AB137" s="1">
        <v>153.09050790000001</v>
      </c>
      <c r="AC137" s="1">
        <v>16.08627104</v>
      </c>
      <c r="AD137" s="1">
        <v>754.52367089999996</v>
      </c>
      <c r="AE137" s="1">
        <v>969.26941490000002</v>
      </c>
      <c r="AF137" s="1">
        <v>23848.0736</v>
      </c>
      <c r="AG137" s="1">
        <v>469.32424589999999</v>
      </c>
      <c r="AH137" s="1">
        <v>44.800896799999997</v>
      </c>
      <c r="AI137" s="1">
        <v>3.1674999999999997E-4</v>
      </c>
      <c r="AJ137" s="1">
        <v>10.248563819999999</v>
      </c>
      <c r="AK137" s="1">
        <v>27.806883289999998</v>
      </c>
      <c r="AL137" s="1">
        <v>50.842376309999999</v>
      </c>
      <c r="AM137" s="1">
        <v>0.25292510000000001</v>
      </c>
      <c r="AN137" s="1">
        <v>7.3854500000000003E-2</v>
      </c>
      <c r="AO137" s="1">
        <v>23.63064516</v>
      </c>
      <c r="AP137" s="1">
        <v>0.35596686999999999</v>
      </c>
      <c r="AQ137" s="1">
        <v>85.519015580000001</v>
      </c>
      <c r="AR137" s="1">
        <v>376.18150600000001</v>
      </c>
    </row>
    <row r="138" spans="1:44">
      <c r="A138" s="1">
        <v>2017</v>
      </c>
      <c r="B138" s="1" t="s">
        <v>62</v>
      </c>
      <c r="C138" s="1" t="s">
        <v>59</v>
      </c>
      <c r="D138" s="1">
        <v>405</v>
      </c>
      <c r="E138" s="1">
        <v>1106.89356</v>
      </c>
      <c r="F138" s="1">
        <v>298.30750849999998</v>
      </c>
      <c r="G138" s="1">
        <v>1028.92246</v>
      </c>
      <c r="H138" s="1">
        <v>14.6179267</v>
      </c>
      <c r="I138" s="1">
        <v>1.90917326</v>
      </c>
      <c r="J138" s="1">
        <v>0</v>
      </c>
      <c r="K138" s="1">
        <v>12.708753440000001</v>
      </c>
      <c r="L138" s="1">
        <v>0.4095144</v>
      </c>
      <c r="M138" s="1">
        <v>0.43940950000000001</v>
      </c>
      <c r="N138" s="1">
        <v>9.3774147800000005</v>
      </c>
      <c r="O138" s="1">
        <v>202.67456580000001</v>
      </c>
      <c r="P138" s="1">
        <v>0</v>
      </c>
      <c r="Q138" s="1">
        <v>0</v>
      </c>
      <c r="R138" s="1">
        <v>0</v>
      </c>
      <c r="S138" s="1">
        <v>0</v>
      </c>
      <c r="T138" s="1">
        <v>1.69218834</v>
      </c>
      <c r="U138" s="1">
        <v>877.68254100000001</v>
      </c>
      <c r="V138" s="1">
        <v>237.13760719999999</v>
      </c>
      <c r="W138" s="1">
        <v>0.92848646000000001</v>
      </c>
      <c r="X138" s="1">
        <v>236.2091207</v>
      </c>
      <c r="Y138" s="1">
        <v>0.11334013</v>
      </c>
      <c r="Z138" s="1">
        <v>236.15073849999999</v>
      </c>
      <c r="AA138" s="1">
        <v>179.6034645</v>
      </c>
      <c r="AB138" s="1">
        <v>50.36782402</v>
      </c>
      <c r="AC138" s="1">
        <v>2.5250120699999998</v>
      </c>
      <c r="AD138" s="1">
        <v>316.24663930000003</v>
      </c>
      <c r="AE138" s="1">
        <v>513.65678149999997</v>
      </c>
      <c r="AF138" s="1">
        <v>9622.3147509999999</v>
      </c>
      <c r="AG138" s="1">
        <v>201.11783159999999</v>
      </c>
      <c r="AH138" s="1">
        <v>13.2346138</v>
      </c>
      <c r="AI138" s="1">
        <v>0</v>
      </c>
      <c r="AJ138" s="1">
        <v>0.95600068000000005</v>
      </c>
      <c r="AK138" s="1">
        <v>4.73466231</v>
      </c>
      <c r="AL138" s="1">
        <v>10.85595839</v>
      </c>
      <c r="AM138" s="1">
        <v>0</v>
      </c>
      <c r="AN138" s="1">
        <v>0</v>
      </c>
      <c r="AO138" s="1">
        <v>6.0212735100000003</v>
      </c>
      <c r="AP138" s="1">
        <v>0</v>
      </c>
      <c r="AQ138" s="1">
        <v>37.330207219999998</v>
      </c>
      <c r="AR138" s="1">
        <v>96.669340759999997</v>
      </c>
    </row>
    <row r="139" spans="1:44">
      <c r="A139" s="1">
        <v>2017</v>
      </c>
      <c r="B139" s="1" t="s">
        <v>62</v>
      </c>
      <c r="C139" s="1" t="s">
        <v>60</v>
      </c>
      <c r="D139" s="1">
        <v>152</v>
      </c>
      <c r="E139" s="1">
        <v>597.54241679999996</v>
      </c>
      <c r="F139" s="1">
        <v>96.565707709999998</v>
      </c>
      <c r="G139" s="1">
        <v>338.21489380000003</v>
      </c>
      <c r="H139" s="1">
        <v>8.9110483899999995</v>
      </c>
      <c r="I139" s="1">
        <v>1.0069389</v>
      </c>
      <c r="J139" s="1">
        <v>0</v>
      </c>
      <c r="K139" s="1">
        <v>7.9041094899999997</v>
      </c>
      <c r="L139" s="1">
        <v>0.19565688000000001</v>
      </c>
      <c r="M139" s="1">
        <v>0.24182049999999999</v>
      </c>
      <c r="N139" s="1">
        <v>2.8230869799999998</v>
      </c>
      <c r="O139" s="1">
        <v>119.78231719999999</v>
      </c>
      <c r="P139" s="1">
        <v>0.22732981999999999</v>
      </c>
      <c r="Q139" s="1">
        <v>4.2000000000000003E-2</v>
      </c>
      <c r="R139" s="1">
        <v>0.18532982000000001</v>
      </c>
      <c r="S139" s="1">
        <v>0</v>
      </c>
      <c r="T139" s="1">
        <v>0.60315624000000001</v>
      </c>
      <c r="U139" s="1">
        <v>464.75800079999999</v>
      </c>
      <c r="V139" s="1">
        <v>126.23229980000001</v>
      </c>
      <c r="W139" s="1">
        <v>0.49215086000000002</v>
      </c>
      <c r="X139" s="1">
        <v>125.740149</v>
      </c>
      <c r="Y139" s="1">
        <v>1.8072100000000001E-3</v>
      </c>
      <c r="Z139" s="1">
        <v>125.6741205</v>
      </c>
      <c r="AA139" s="1">
        <v>97.344647449999997</v>
      </c>
      <c r="AB139" s="1">
        <v>27.13341097</v>
      </c>
      <c r="AC139" s="1">
        <v>1.71685617</v>
      </c>
      <c r="AD139" s="1">
        <v>184.50715650000001</v>
      </c>
      <c r="AE139" s="1">
        <v>35.393218150000003</v>
      </c>
      <c r="AF139" s="1">
        <v>2977.7060459999998</v>
      </c>
      <c r="AG139" s="1">
        <v>140.0691099</v>
      </c>
      <c r="AH139" s="1">
        <v>7.4658425099999999</v>
      </c>
      <c r="AI139" s="1">
        <v>0</v>
      </c>
      <c r="AJ139" s="1">
        <v>1.70885924</v>
      </c>
      <c r="AK139" s="1">
        <v>2.9039605599999998</v>
      </c>
      <c r="AL139" s="1">
        <v>3.53245444</v>
      </c>
      <c r="AM139" s="1">
        <v>4.2000000000000003E-2</v>
      </c>
      <c r="AN139" s="1">
        <v>0.18532982000000001</v>
      </c>
      <c r="AO139" s="1">
        <v>2.7144740399999998</v>
      </c>
      <c r="AP139" s="1">
        <v>0</v>
      </c>
      <c r="AQ139" s="1">
        <v>8.6677069099999997</v>
      </c>
      <c r="AR139" s="1">
        <v>389.80720280000003</v>
      </c>
    </row>
    <row r="140" spans="1:44">
      <c r="A140" s="1">
        <v>2017</v>
      </c>
      <c r="B140" s="1" t="s">
        <v>62</v>
      </c>
      <c r="C140" s="1" t="s">
        <v>61</v>
      </c>
      <c r="D140" s="1">
        <v>209</v>
      </c>
      <c r="E140" s="1">
        <v>1819.4938520000001</v>
      </c>
      <c r="F140" s="1">
        <v>318.96879189999999</v>
      </c>
      <c r="G140" s="1">
        <v>1079.394824</v>
      </c>
      <c r="H140" s="1">
        <v>29.266093380000001</v>
      </c>
      <c r="I140" s="1">
        <v>6.2344230899999999</v>
      </c>
      <c r="J140" s="1">
        <v>8.0837519999999996E-2</v>
      </c>
      <c r="K140" s="1">
        <v>22.950832770000002</v>
      </c>
      <c r="L140" s="1">
        <v>0.26845943999999999</v>
      </c>
      <c r="M140" s="1">
        <v>0.27475349999999998</v>
      </c>
      <c r="N140" s="1">
        <v>6.1216204400000001</v>
      </c>
      <c r="O140" s="1">
        <v>393.52045010000001</v>
      </c>
      <c r="P140" s="1">
        <v>1.25945E-2</v>
      </c>
      <c r="Q140" s="1">
        <v>1.25945E-2</v>
      </c>
      <c r="R140" s="1">
        <v>0</v>
      </c>
      <c r="S140" s="1">
        <v>0</v>
      </c>
      <c r="T140" s="1">
        <v>0.67017360000000004</v>
      </c>
      <c r="U140" s="1">
        <v>1389.359708</v>
      </c>
      <c r="V140" s="1">
        <v>379.89356370000002</v>
      </c>
      <c r="W140" s="1">
        <v>2.3555793899999999</v>
      </c>
      <c r="X140" s="1">
        <v>377.53798430000001</v>
      </c>
      <c r="Y140" s="1">
        <v>1.081214E-2</v>
      </c>
      <c r="Z140" s="1">
        <v>377.46337119999998</v>
      </c>
      <c r="AA140" s="1">
        <v>262.82987980000001</v>
      </c>
      <c r="AB140" s="1">
        <v>88.998914580000005</v>
      </c>
      <c r="AC140" s="1">
        <v>4.8565350900000004</v>
      </c>
      <c r="AD140" s="1">
        <v>172.10834700000001</v>
      </c>
      <c r="AE140" s="1">
        <v>542.40836009999998</v>
      </c>
      <c r="AF140" s="1">
        <v>10127.056259999999</v>
      </c>
      <c r="AG140" s="1">
        <v>121.2047687</v>
      </c>
      <c r="AH140" s="1">
        <v>23.309787629999999</v>
      </c>
      <c r="AI140" s="1">
        <v>0</v>
      </c>
      <c r="AJ140" s="1">
        <v>1.28733688</v>
      </c>
      <c r="AK140" s="1">
        <v>2.9954035299999999</v>
      </c>
      <c r="AL140" s="1">
        <v>7.30008883</v>
      </c>
      <c r="AM140" s="1">
        <v>1.25945E-2</v>
      </c>
      <c r="AN140" s="1">
        <v>0</v>
      </c>
      <c r="AO140" s="1">
        <v>6.2753637600000003</v>
      </c>
      <c r="AP140" s="1">
        <v>0</v>
      </c>
      <c r="AQ140" s="1">
        <v>34.032447619999999</v>
      </c>
      <c r="AR140" s="1">
        <v>167.53263820000001</v>
      </c>
    </row>
    <row r="141" spans="1:44">
      <c r="A141" s="1">
        <v>2017</v>
      </c>
      <c r="B141" s="1" t="s">
        <v>63</v>
      </c>
      <c r="C141" s="1" t="s">
        <v>64</v>
      </c>
      <c r="D141" s="1">
        <v>2828</v>
      </c>
      <c r="E141" s="1">
        <v>157.03999379999999</v>
      </c>
      <c r="F141" s="1">
        <v>18.195201180000002</v>
      </c>
      <c r="G141" s="1">
        <v>105.8551178</v>
      </c>
      <c r="H141" s="1">
        <v>7.1092334700000004</v>
      </c>
      <c r="I141" s="1">
        <v>6.1579104100000004</v>
      </c>
      <c r="J141" s="1">
        <v>1.6960429999999999E-2</v>
      </c>
      <c r="K141" s="1">
        <v>0.93436262999999997</v>
      </c>
      <c r="L141" s="1">
        <v>3.8685711500000002</v>
      </c>
      <c r="M141" s="1">
        <v>2.6247710199999998</v>
      </c>
      <c r="N141" s="1">
        <v>6.6213076900000001</v>
      </c>
      <c r="O141" s="1">
        <v>0.81943801999999999</v>
      </c>
      <c r="P141" s="1">
        <v>2.1367048400000002</v>
      </c>
      <c r="Q141" s="1">
        <v>1.8633602899999999</v>
      </c>
      <c r="R141" s="1">
        <v>0.24909890000000001</v>
      </c>
      <c r="S141" s="1">
        <v>2.4245650000000001E-2</v>
      </c>
      <c r="T141" s="1">
        <v>12.982290300000001</v>
      </c>
      <c r="U141" s="1">
        <v>120.8776773</v>
      </c>
      <c r="V141" s="1">
        <v>13.448472349999999</v>
      </c>
      <c r="W141" s="1">
        <v>1.07113E-3</v>
      </c>
      <c r="X141" s="1">
        <v>13.44740122</v>
      </c>
      <c r="Y141" s="1">
        <v>7.3321239999999996E-2</v>
      </c>
      <c r="Z141" s="1">
        <v>13.48948832</v>
      </c>
      <c r="AA141" s="1">
        <v>14.416389369999999</v>
      </c>
      <c r="AB141" s="1">
        <v>1.5406865599999999</v>
      </c>
      <c r="AC141" s="1">
        <v>2.5230542100000002</v>
      </c>
      <c r="AD141" s="1">
        <v>26.190806030000001</v>
      </c>
      <c r="AE141" s="1">
        <v>64.053479319999994</v>
      </c>
      <c r="AF141" s="1">
        <v>465.23416839999999</v>
      </c>
      <c r="AG141" s="1">
        <v>3.5386288800000001</v>
      </c>
      <c r="AH141" s="1">
        <v>0.92689924999999995</v>
      </c>
      <c r="AI141" s="1">
        <v>7.8659699999999999E-3</v>
      </c>
      <c r="AJ141" s="1">
        <v>0.30680205999999999</v>
      </c>
      <c r="AK141" s="1">
        <v>5.30936465</v>
      </c>
      <c r="AL141" s="1">
        <v>8.3005944399999994</v>
      </c>
      <c r="AM141" s="1">
        <v>1.9256193699999999</v>
      </c>
      <c r="AN141" s="1">
        <v>0.26109097999999997</v>
      </c>
      <c r="AO141" s="1">
        <v>0.42755485999999998</v>
      </c>
      <c r="AP141" s="1">
        <v>1.4E-2</v>
      </c>
      <c r="AQ141" s="1">
        <v>3.71438019</v>
      </c>
      <c r="AR141" s="1">
        <v>0.45885357999999998</v>
      </c>
    </row>
    <row r="142" spans="1:44">
      <c r="A142" s="1">
        <v>2016</v>
      </c>
      <c r="B142" s="1" t="s">
        <v>44</v>
      </c>
      <c r="C142" s="1" t="s">
        <v>45</v>
      </c>
      <c r="D142" s="1">
        <v>1617521</v>
      </c>
      <c r="E142" s="1">
        <v>3710.7870499999999</v>
      </c>
      <c r="F142" s="1">
        <v>18142.765820000001</v>
      </c>
      <c r="G142" s="1">
        <v>97331.943589999995</v>
      </c>
      <c r="H142" s="1">
        <v>443.94732499999998</v>
      </c>
      <c r="I142" s="1">
        <v>411.37300269999997</v>
      </c>
      <c r="J142" s="1">
        <v>1.6591952999999999</v>
      </c>
      <c r="K142" s="1">
        <v>30.915126999999998</v>
      </c>
      <c r="L142" s="1">
        <v>463.14484040000002</v>
      </c>
      <c r="M142" s="1">
        <v>128.4788278</v>
      </c>
      <c r="N142" s="1">
        <v>1054.517568</v>
      </c>
      <c r="O142" s="1">
        <v>139.4894773</v>
      </c>
      <c r="P142" s="1">
        <v>506.84763090000001</v>
      </c>
      <c r="Q142" s="1">
        <v>433.54489599999999</v>
      </c>
      <c r="R142" s="1">
        <v>72.565775200000004</v>
      </c>
      <c r="S142" s="1">
        <v>0.73695975000000002</v>
      </c>
      <c r="T142" s="1">
        <v>119.71156240000001</v>
      </c>
      <c r="U142" s="1">
        <v>854.64981820000003</v>
      </c>
      <c r="V142" s="1">
        <v>2.5632780000000001E-2</v>
      </c>
      <c r="W142" s="1">
        <v>0</v>
      </c>
      <c r="X142" s="1">
        <v>2.5632780000000001E-2</v>
      </c>
      <c r="Y142" s="1">
        <v>63.783190320000003</v>
      </c>
      <c r="Z142" s="1">
        <v>63.80873622</v>
      </c>
      <c r="AA142" s="1">
        <v>476.59933089999998</v>
      </c>
      <c r="AB142" s="1">
        <v>6.1288034500000004</v>
      </c>
      <c r="AC142" s="1">
        <v>419.55706709999998</v>
      </c>
      <c r="AD142" s="1">
        <v>49033.780149999999</v>
      </c>
      <c r="AE142" s="1">
        <v>9069.0142450000003</v>
      </c>
      <c r="AF142" s="1">
        <v>699292.40159999998</v>
      </c>
      <c r="AG142" s="1">
        <v>6098.5007150000001</v>
      </c>
      <c r="AH142" s="1">
        <v>235.127453</v>
      </c>
      <c r="AI142" s="1">
        <v>1.6062243899999999</v>
      </c>
      <c r="AJ142" s="1">
        <v>69.864041599999993</v>
      </c>
      <c r="AK142" s="1">
        <v>976.36423239999999</v>
      </c>
      <c r="AL142" s="1">
        <v>3490.1635900000001</v>
      </c>
      <c r="AM142" s="1">
        <v>1184.3950809999999</v>
      </c>
      <c r="AN142" s="1">
        <v>204.101384</v>
      </c>
      <c r="AO142" s="1">
        <v>699.24818070000003</v>
      </c>
      <c r="AP142" s="1">
        <v>46.2984267</v>
      </c>
      <c r="AQ142" s="1">
        <v>2752.8904699999998</v>
      </c>
      <c r="AR142" s="1">
        <v>7988.2175589999997</v>
      </c>
    </row>
    <row r="143" spans="1:44">
      <c r="A143" s="1">
        <v>2016</v>
      </c>
      <c r="B143" s="1" t="s">
        <v>44</v>
      </c>
      <c r="C143" s="1" t="s">
        <v>46</v>
      </c>
      <c r="D143" s="1">
        <v>867311</v>
      </c>
      <c r="E143" s="1">
        <v>10009.19606</v>
      </c>
      <c r="F143" s="1">
        <v>4673.7395630000001</v>
      </c>
      <c r="G143" s="1">
        <v>41244.459080000001</v>
      </c>
      <c r="H143" s="1">
        <v>290.77037860000002</v>
      </c>
      <c r="I143" s="1">
        <v>273.80216630000001</v>
      </c>
      <c r="J143" s="1">
        <v>0.47900724</v>
      </c>
      <c r="K143" s="1">
        <v>16.48920506</v>
      </c>
      <c r="L143" s="1">
        <v>355.09676150000001</v>
      </c>
      <c r="M143" s="1">
        <v>87.821127279999999</v>
      </c>
      <c r="N143" s="1">
        <v>520.03141649999998</v>
      </c>
      <c r="O143" s="1">
        <v>70.386851669999999</v>
      </c>
      <c r="P143" s="1">
        <v>171.26146130000001</v>
      </c>
      <c r="Q143" s="1">
        <v>151.20906919999999</v>
      </c>
      <c r="R143" s="1">
        <v>19.231743470000001</v>
      </c>
      <c r="S143" s="1">
        <v>0.82064862999999999</v>
      </c>
      <c r="T143" s="1">
        <v>1265.8829189999999</v>
      </c>
      <c r="U143" s="1">
        <v>7247.9451499999996</v>
      </c>
      <c r="V143" s="1">
        <v>0.22431618</v>
      </c>
      <c r="W143" s="1">
        <v>0</v>
      </c>
      <c r="X143" s="1">
        <v>0.22431618</v>
      </c>
      <c r="Y143" s="1">
        <v>12.53183063</v>
      </c>
      <c r="Z143" s="1">
        <v>12.756146810000001</v>
      </c>
      <c r="AA143" s="1">
        <v>95.945927620000006</v>
      </c>
      <c r="AB143" s="1">
        <v>0.97465025000000005</v>
      </c>
      <c r="AC143" s="1">
        <v>84.618647859999996</v>
      </c>
      <c r="AD143" s="1">
        <v>18284.419440000001</v>
      </c>
      <c r="AE143" s="1">
        <v>2151.4764110000001</v>
      </c>
      <c r="AF143" s="1">
        <v>230411.5386</v>
      </c>
      <c r="AG143" s="1">
        <v>1773.2754540000001</v>
      </c>
      <c r="AH143" s="1">
        <v>56.858745460000002</v>
      </c>
      <c r="AI143" s="1">
        <v>0.56232104000000005</v>
      </c>
      <c r="AJ143" s="1">
        <v>15.25522509</v>
      </c>
      <c r="AK143" s="1">
        <v>333.04596579999998</v>
      </c>
      <c r="AL143" s="1">
        <v>829.91159860000005</v>
      </c>
      <c r="AM143" s="1">
        <v>205.87126269999999</v>
      </c>
      <c r="AN143" s="1">
        <v>29.256518190000001</v>
      </c>
      <c r="AO143" s="1">
        <v>159.2568441</v>
      </c>
      <c r="AP143" s="1">
        <v>11.28421144</v>
      </c>
      <c r="AQ143" s="1">
        <v>429.62364869999999</v>
      </c>
      <c r="AR143" s="1">
        <v>890.03485820000003</v>
      </c>
    </row>
    <row r="144" spans="1:44">
      <c r="A144" s="1">
        <v>2016</v>
      </c>
      <c r="B144" s="1" t="s">
        <v>44</v>
      </c>
      <c r="C144" s="1" t="s">
        <v>47</v>
      </c>
      <c r="D144" s="1">
        <v>2365667</v>
      </c>
      <c r="E144" s="1">
        <v>55190.079729999998</v>
      </c>
      <c r="F144" s="1">
        <v>10125.756079999999</v>
      </c>
      <c r="G144" s="1">
        <v>58963.652779999997</v>
      </c>
      <c r="H144" s="1">
        <v>1829.288988</v>
      </c>
      <c r="I144" s="1">
        <v>1738.622515</v>
      </c>
      <c r="J144" s="1">
        <v>3.6782614200000001</v>
      </c>
      <c r="K144" s="1">
        <v>86.988211489999998</v>
      </c>
      <c r="L144" s="1">
        <v>2543.5690159999999</v>
      </c>
      <c r="M144" s="1">
        <v>657.87985249999997</v>
      </c>
      <c r="N144" s="1">
        <v>2165.1449400000001</v>
      </c>
      <c r="O144" s="1">
        <v>279.2618157</v>
      </c>
      <c r="P144" s="1">
        <v>968.05608710000001</v>
      </c>
      <c r="Q144" s="1">
        <v>875.14458139999999</v>
      </c>
      <c r="R144" s="1">
        <v>89.605844079999997</v>
      </c>
      <c r="S144" s="1">
        <v>3.30566169</v>
      </c>
      <c r="T144" s="1">
        <v>6304.728881</v>
      </c>
      <c r="U144" s="1">
        <v>40442.150150000001</v>
      </c>
      <c r="V144" s="1">
        <v>1.3682144899999999</v>
      </c>
      <c r="W144" s="1">
        <v>6.2879999999999994E-5</v>
      </c>
      <c r="X144" s="1">
        <v>1.36815161</v>
      </c>
      <c r="Y144" s="1">
        <v>26.654767240000002</v>
      </c>
      <c r="Z144" s="1">
        <v>28.01721684</v>
      </c>
      <c r="AA144" s="1">
        <v>526.86899640000001</v>
      </c>
      <c r="AB144" s="1">
        <v>3.4384055500000001</v>
      </c>
      <c r="AC144" s="1">
        <v>504.4466693</v>
      </c>
      <c r="AD144" s="1">
        <v>33725.224329999997</v>
      </c>
      <c r="AE144" s="1">
        <v>3580.0788729999999</v>
      </c>
      <c r="AF144" s="1">
        <v>494555.54710000003</v>
      </c>
      <c r="AG144" s="1">
        <v>3335.8465590000001</v>
      </c>
      <c r="AH144" s="1">
        <v>144.71043449999999</v>
      </c>
      <c r="AI144" s="1">
        <v>1.37472266</v>
      </c>
      <c r="AJ144" s="1">
        <v>51.381136419999997</v>
      </c>
      <c r="AK144" s="1">
        <v>1447.973264</v>
      </c>
      <c r="AL144" s="1">
        <v>2955.2943690000002</v>
      </c>
      <c r="AM144" s="1">
        <v>986.73933839999995</v>
      </c>
      <c r="AN144" s="1">
        <v>108.10476389999999</v>
      </c>
      <c r="AO144" s="1">
        <v>377.0559773</v>
      </c>
      <c r="AP144" s="1">
        <v>18.216501900000001</v>
      </c>
      <c r="AQ144" s="1">
        <v>836.66796850000003</v>
      </c>
      <c r="AR144" s="1">
        <v>1947.3324299999999</v>
      </c>
    </row>
    <row r="145" spans="1:44">
      <c r="A145" s="1">
        <v>2016</v>
      </c>
      <c r="B145" s="1" t="s">
        <v>44</v>
      </c>
      <c r="C145" s="1" t="s">
        <v>48</v>
      </c>
      <c r="D145" s="1">
        <v>5009155</v>
      </c>
      <c r="E145" s="1">
        <v>171866.755</v>
      </c>
      <c r="F145" s="1">
        <v>20338.755089999999</v>
      </c>
      <c r="G145" s="1">
        <v>61174.151599999997</v>
      </c>
      <c r="H145" s="1">
        <v>7003.5787440000004</v>
      </c>
      <c r="I145" s="1">
        <v>6640.0076939999999</v>
      </c>
      <c r="J145" s="1">
        <v>9.0619435700000004</v>
      </c>
      <c r="K145" s="1">
        <v>354.50910599999997</v>
      </c>
      <c r="L145" s="1">
        <v>7508.0074340000001</v>
      </c>
      <c r="M145" s="1">
        <v>2960.046746</v>
      </c>
      <c r="N145" s="1">
        <v>5903.1101840000001</v>
      </c>
      <c r="O145" s="1">
        <v>957.84394989999998</v>
      </c>
      <c r="P145" s="1">
        <v>2106.364572</v>
      </c>
      <c r="Q145" s="1">
        <v>1912.2814000000001</v>
      </c>
      <c r="R145" s="1">
        <v>189.86882180000001</v>
      </c>
      <c r="S145" s="1">
        <v>4.2143505299999999</v>
      </c>
      <c r="T145" s="1">
        <v>19189.88077</v>
      </c>
      <c r="U145" s="1">
        <v>126237.92260000001</v>
      </c>
      <c r="V145" s="1">
        <v>961.2333122</v>
      </c>
      <c r="W145" s="1">
        <v>6.9025520000000007E-2</v>
      </c>
      <c r="X145" s="1">
        <v>961.16428670000005</v>
      </c>
      <c r="Y145" s="1">
        <v>31.6829511</v>
      </c>
      <c r="Z145" s="1">
        <v>989.24727529999996</v>
      </c>
      <c r="AA145" s="1">
        <v>2695.6360100000002</v>
      </c>
      <c r="AB145" s="1">
        <v>174.5957152</v>
      </c>
      <c r="AC145" s="1">
        <v>1890.7767719999999</v>
      </c>
      <c r="AD145" s="1">
        <v>70151.031359999994</v>
      </c>
      <c r="AE145" s="1">
        <v>4129.2624470000001</v>
      </c>
      <c r="AF145" s="1">
        <v>740690.15740000003</v>
      </c>
      <c r="AG145" s="1">
        <v>3953.2978240000002</v>
      </c>
      <c r="AH145" s="1">
        <v>346.55773440000002</v>
      </c>
      <c r="AI145" s="1">
        <v>4.5074144799999996</v>
      </c>
      <c r="AJ145" s="1">
        <v>166.7818273</v>
      </c>
      <c r="AK145" s="1">
        <v>4953.9671399999997</v>
      </c>
      <c r="AL145" s="1">
        <v>6839.9985070000002</v>
      </c>
      <c r="AM145" s="1">
        <v>1989.6491799999999</v>
      </c>
      <c r="AN145" s="1">
        <v>201.39954</v>
      </c>
      <c r="AO145" s="1">
        <v>480.91806320000001</v>
      </c>
      <c r="AP145" s="1">
        <v>27.966773580000002</v>
      </c>
      <c r="AQ145" s="1">
        <v>1265.3574599999999</v>
      </c>
      <c r="AR145" s="1">
        <v>1885.0384180000001</v>
      </c>
    </row>
    <row r="146" spans="1:44">
      <c r="A146" s="1">
        <v>2016</v>
      </c>
      <c r="B146" s="1" t="s">
        <v>44</v>
      </c>
      <c r="C146" s="1" t="s">
        <v>49</v>
      </c>
      <c r="D146" s="1">
        <v>3292703</v>
      </c>
      <c r="E146" s="1">
        <v>180416.45989999999</v>
      </c>
      <c r="F146" s="1">
        <v>24984.427790000002</v>
      </c>
      <c r="G146" s="1">
        <v>70017.299780000001</v>
      </c>
      <c r="H146" s="1">
        <v>8503.7454959999995</v>
      </c>
      <c r="I146" s="1">
        <v>7748.693072</v>
      </c>
      <c r="J146" s="1">
        <v>7.9702123699999996</v>
      </c>
      <c r="K146" s="1">
        <v>747.0822124</v>
      </c>
      <c r="L146" s="1">
        <v>6006.3090279999997</v>
      </c>
      <c r="M146" s="1">
        <v>3527.7626319999999</v>
      </c>
      <c r="N146" s="1">
        <v>7351.1285809999999</v>
      </c>
      <c r="O146" s="1">
        <v>1068.7817660000001</v>
      </c>
      <c r="P146" s="1">
        <v>2561.7068420000001</v>
      </c>
      <c r="Q146" s="1">
        <v>2308.550518</v>
      </c>
      <c r="R146" s="1">
        <v>249.5437842</v>
      </c>
      <c r="S146" s="1">
        <v>3.6125396400000001</v>
      </c>
      <c r="T146" s="1">
        <v>18548.747729999999</v>
      </c>
      <c r="U146" s="1">
        <v>132848.27789999999</v>
      </c>
      <c r="V146" s="1">
        <v>6192.6728780000003</v>
      </c>
      <c r="W146" s="1">
        <v>0.94266106000000005</v>
      </c>
      <c r="X146" s="1">
        <v>6191.7302170000003</v>
      </c>
      <c r="Y146" s="1">
        <v>54.182930769999999</v>
      </c>
      <c r="Z146" s="1">
        <v>6212.8247490000003</v>
      </c>
      <c r="AA146" s="1">
        <v>8458.804091</v>
      </c>
      <c r="AB146" s="1">
        <v>1064.599631</v>
      </c>
      <c r="AC146" s="1">
        <v>3363.9222589999999</v>
      </c>
      <c r="AD146" s="1">
        <v>62408.263639999997</v>
      </c>
      <c r="AE146" s="1">
        <v>4089.5324169999999</v>
      </c>
      <c r="AF146" s="1">
        <v>808821.17489999998</v>
      </c>
      <c r="AG146" s="1">
        <v>5329.6480940000001</v>
      </c>
      <c r="AH146" s="1">
        <v>711.50997419999999</v>
      </c>
      <c r="AI146" s="1">
        <v>7.3281355799999996</v>
      </c>
      <c r="AJ146" s="1">
        <v>319.90848540000002</v>
      </c>
      <c r="AK146" s="1">
        <v>6633.7029750000002</v>
      </c>
      <c r="AL146" s="1">
        <v>8762.4645820000005</v>
      </c>
      <c r="AM146" s="1">
        <v>2365.9804159999999</v>
      </c>
      <c r="AN146" s="1">
        <v>256.39508089999998</v>
      </c>
      <c r="AO146" s="1">
        <v>633.18653040000004</v>
      </c>
      <c r="AP146" s="1">
        <v>47.405500539999998</v>
      </c>
      <c r="AQ146" s="1">
        <v>1929.381969</v>
      </c>
      <c r="AR146" s="1">
        <v>2396.574959</v>
      </c>
    </row>
    <row r="147" spans="1:44">
      <c r="A147" s="1">
        <v>2016</v>
      </c>
      <c r="B147" s="1" t="s">
        <v>44</v>
      </c>
      <c r="C147" s="1" t="s">
        <v>50</v>
      </c>
      <c r="D147" s="1">
        <v>1222824</v>
      </c>
      <c r="E147" s="1">
        <v>101165.5082</v>
      </c>
      <c r="F147" s="1">
        <v>14858.65892</v>
      </c>
      <c r="G147" s="1">
        <v>38434.906199999998</v>
      </c>
      <c r="H147" s="1">
        <v>4419.9405939999997</v>
      </c>
      <c r="I147" s="1">
        <v>3733.6075300000002</v>
      </c>
      <c r="J147" s="1">
        <v>2.5877529300000002</v>
      </c>
      <c r="K147" s="1">
        <v>683.74531139999999</v>
      </c>
      <c r="L147" s="1">
        <v>2290.5141429999999</v>
      </c>
      <c r="M147" s="1">
        <v>1855.185931</v>
      </c>
      <c r="N147" s="1">
        <v>4176.0144790000004</v>
      </c>
      <c r="O147" s="1">
        <v>706.72904630000005</v>
      </c>
      <c r="P147" s="1">
        <v>1630.407925</v>
      </c>
      <c r="Q147" s="1">
        <v>1454.6793849999999</v>
      </c>
      <c r="R147" s="1">
        <v>174.55733290000001</v>
      </c>
      <c r="S147" s="1">
        <v>1.1712077400000001</v>
      </c>
      <c r="T147" s="1">
        <v>10471.750739999999</v>
      </c>
      <c r="U147" s="1">
        <v>75614.96531</v>
      </c>
      <c r="V147" s="1">
        <v>8063.0120450000004</v>
      </c>
      <c r="W147" s="1">
        <v>1.8067118200000001</v>
      </c>
      <c r="X147" s="1">
        <v>8061.2053329999999</v>
      </c>
      <c r="Y147" s="1">
        <v>37.139276129999999</v>
      </c>
      <c r="Z147" s="1">
        <v>8075.7783760000002</v>
      </c>
      <c r="AA147" s="1">
        <v>8836.1379809999999</v>
      </c>
      <c r="AB147" s="1">
        <v>1255.1988160000001</v>
      </c>
      <c r="AC147" s="1">
        <v>2077.6277180000002</v>
      </c>
      <c r="AD147" s="1">
        <v>35644.832999999999</v>
      </c>
      <c r="AE147" s="1">
        <v>2636.5656509999999</v>
      </c>
      <c r="AF147" s="1">
        <v>475635.63770000002</v>
      </c>
      <c r="AG147" s="1">
        <v>3356.0600669999999</v>
      </c>
      <c r="AH147" s="1">
        <v>665.3377471</v>
      </c>
      <c r="AI147" s="1">
        <v>10.023585150000001</v>
      </c>
      <c r="AJ147" s="1">
        <v>284.44304090000003</v>
      </c>
      <c r="AK147" s="1">
        <v>3843.1095150000001</v>
      </c>
      <c r="AL147" s="1">
        <v>5236.3923349999995</v>
      </c>
      <c r="AM147" s="1">
        <v>1492.4797450000001</v>
      </c>
      <c r="AN147" s="1">
        <v>179.97509959999999</v>
      </c>
      <c r="AO147" s="1">
        <v>383.9783051</v>
      </c>
      <c r="AP147" s="1">
        <v>33.482151229999999</v>
      </c>
      <c r="AQ147" s="1">
        <v>1286.952033</v>
      </c>
      <c r="AR147" s="1">
        <v>1756.243772</v>
      </c>
    </row>
    <row r="148" spans="1:44">
      <c r="A148" s="1">
        <v>2016</v>
      </c>
      <c r="B148" s="1" t="s">
        <v>44</v>
      </c>
      <c r="C148" s="1" t="s">
        <v>51</v>
      </c>
      <c r="D148" s="1">
        <v>860233</v>
      </c>
      <c r="E148" s="1">
        <v>97271.928379999998</v>
      </c>
      <c r="F148" s="1">
        <v>14840.314420000001</v>
      </c>
      <c r="G148" s="1">
        <v>33768.862650000003</v>
      </c>
      <c r="H148" s="1">
        <v>4949.3034120000002</v>
      </c>
      <c r="I148" s="1">
        <v>3864.8539099999998</v>
      </c>
      <c r="J148" s="1">
        <v>2.2354169599999998</v>
      </c>
      <c r="K148" s="1">
        <v>1082.214086</v>
      </c>
      <c r="L148" s="1">
        <v>1823.7974059999999</v>
      </c>
      <c r="M148" s="1">
        <v>1567.688451</v>
      </c>
      <c r="N148" s="1">
        <v>4208.8680919999997</v>
      </c>
      <c r="O148" s="1">
        <v>652.0908723</v>
      </c>
      <c r="P148" s="1">
        <v>1638.003052</v>
      </c>
      <c r="Q148" s="1">
        <v>1450.81621</v>
      </c>
      <c r="R148" s="1">
        <v>186.3081062</v>
      </c>
      <c r="S148" s="1">
        <v>0.87873570000000001</v>
      </c>
      <c r="T148" s="1">
        <v>6671.1928379999999</v>
      </c>
      <c r="U148" s="1">
        <v>75760.984249999994</v>
      </c>
      <c r="V148" s="1">
        <v>11864.801149999999</v>
      </c>
      <c r="W148" s="1">
        <v>3.9166714800000002</v>
      </c>
      <c r="X148" s="1">
        <v>11860.884480000001</v>
      </c>
      <c r="Y148" s="1">
        <v>42.18052445</v>
      </c>
      <c r="Z148" s="1">
        <v>11874.061900000001</v>
      </c>
      <c r="AA148" s="1">
        <v>11834.82301</v>
      </c>
      <c r="AB148" s="1">
        <v>1479.4821039999999</v>
      </c>
      <c r="AC148" s="1">
        <v>1508.471982</v>
      </c>
      <c r="AD148" s="1">
        <v>32756.591189999999</v>
      </c>
      <c r="AE148" s="1">
        <v>2991.1040910000002</v>
      </c>
      <c r="AF148" s="1">
        <v>392485.58789999998</v>
      </c>
      <c r="AG148" s="1">
        <v>3422.501906</v>
      </c>
      <c r="AH148" s="1">
        <v>982.23566740000001</v>
      </c>
      <c r="AI148" s="1">
        <v>21.882923779999999</v>
      </c>
      <c r="AJ148" s="1">
        <v>391.24290189999999</v>
      </c>
      <c r="AK148" s="1">
        <v>3579.9928009999999</v>
      </c>
      <c r="AL148" s="1">
        <v>4958.5953950000003</v>
      </c>
      <c r="AM148" s="1">
        <v>1468.210634</v>
      </c>
      <c r="AN148" s="1">
        <v>188.75936899999999</v>
      </c>
      <c r="AO148" s="1">
        <v>405.7165761</v>
      </c>
      <c r="AP148" s="1">
        <v>27.38304436</v>
      </c>
      <c r="AQ148" s="1">
        <v>1456.7279590000001</v>
      </c>
      <c r="AR148" s="1">
        <v>1445.7132590000001</v>
      </c>
    </row>
    <row r="149" spans="1:44">
      <c r="A149" s="1">
        <v>2016</v>
      </c>
      <c r="B149" s="1" t="s">
        <v>44</v>
      </c>
      <c r="C149" s="1" t="s">
        <v>52</v>
      </c>
      <c r="D149" s="1">
        <v>665360</v>
      </c>
      <c r="E149" s="1">
        <v>105327.1096</v>
      </c>
      <c r="F149" s="1">
        <v>17346.341499999999</v>
      </c>
      <c r="G149" s="1">
        <v>34769.979570000003</v>
      </c>
      <c r="H149" s="1">
        <v>6602.9771639999999</v>
      </c>
      <c r="I149" s="1">
        <v>4760.2969979999998</v>
      </c>
      <c r="J149" s="1">
        <v>2.9222485300000001</v>
      </c>
      <c r="K149" s="1">
        <v>1839.7579169999999</v>
      </c>
      <c r="L149" s="1">
        <v>1551.615935</v>
      </c>
      <c r="M149" s="1">
        <v>1343.9730239999999</v>
      </c>
      <c r="N149" s="1">
        <v>4498.7657310000004</v>
      </c>
      <c r="O149" s="1">
        <v>752.64013390000002</v>
      </c>
      <c r="P149" s="1">
        <v>1710.4720339999999</v>
      </c>
      <c r="Q149" s="1">
        <v>1513.0205149999999</v>
      </c>
      <c r="R149" s="1">
        <v>196.71604479999999</v>
      </c>
      <c r="S149" s="1">
        <v>0.73547406000000004</v>
      </c>
      <c r="T149" s="1">
        <v>3523.588491</v>
      </c>
      <c r="U149" s="1">
        <v>85343.077130000005</v>
      </c>
      <c r="V149" s="1">
        <v>16532.728220000001</v>
      </c>
      <c r="W149" s="1">
        <v>9.0467379700000006</v>
      </c>
      <c r="X149" s="1">
        <v>16523.681479999999</v>
      </c>
      <c r="Y149" s="1">
        <v>59.578920150000002</v>
      </c>
      <c r="Z149" s="1">
        <v>16537.666659999999</v>
      </c>
      <c r="AA149" s="1">
        <v>16006.76965</v>
      </c>
      <c r="AB149" s="1">
        <v>1653.2938899999999</v>
      </c>
      <c r="AC149" s="1">
        <v>1205.043437</v>
      </c>
      <c r="AD149" s="1">
        <v>35930.181640000003</v>
      </c>
      <c r="AE149" s="1">
        <v>2583.2406599999999</v>
      </c>
      <c r="AF149" s="1">
        <v>441393.5612</v>
      </c>
      <c r="AG149" s="1">
        <v>4500.3896340000001</v>
      </c>
      <c r="AH149" s="1">
        <v>1583.2440309999999</v>
      </c>
      <c r="AI149" s="1">
        <v>26.837844059999998</v>
      </c>
      <c r="AJ149" s="1">
        <v>511.6005467</v>
      </c>
      <c r="AK149" s="1">
        <v>3584.141337</v>
      </c>
      <c r="AL149" s="1">
        <v>4999.3695699999998</v>
      </c>
      <c r="AM149" s="1">
        <v>1524.167021</v>
      </c>
      <c r="AN149" s="1">
        <v>198.80014069999999</v>
      </c>
      <c r="AO149" s="1">
        <v>446.42481090000001</v>
      </c>
      <c r="AP149" s="1">
        <v>21.863349240000002</v>
      </c>
      <c r="AQ149" s="1">
        <v>1757.2446520000001</v>
      </c>
      <c r="AR149" s="1">
        <v>2010.1295439999999</v>
      </c>
    </row>
    <row r="150" spans="1:44">
      <c r="A150" s="1">
        <v>2016</v>
      </c>
      <c r="B150" s="1" t="s">
        <v>44</v>
      </c>
      <c r="C150" s="1" t="s">
        <v>53</v>
      </c>
      <c r="D150" s="1">
        <v>309155</v>
      </c>
      <c r="E150" s="1">
        <v>67913.695399999997</v>
      </c>
      <c r="F150" s="1">
        <v>11997.58676</v>
      </c>
      <c r="G150" s="1">
        <v>23541.659619999999</v>
      </c>
      <c r="H150" s="1">
        <v>4803.623893</v>
      </c>
      <c r="I150" s="1">
        <v>3347.6151450000002</v>
      </c>
      <c r="J150" s="1">
        <v>2.00182444</v>
      </c>
      <c r="K150" s="1">
        <v>1454.006924</v>
      </c>
      <c r="L150" s="1">
        <v>742.73399219999999</v>
      </c>
      <c r="M150" s="1">
        <v>637.30621280000003</v>
      </c>
      <c r="N150" s="1">
        <v>2789.4194189999998</v>
      </c>
      <c r="O150" s="1">
        <v>600.70505000000003</v>
      </c>
      <c r="P150" s="1">
        <v>1040.37228</v>
      </c>
      <c r="Q150" s="1">
        <v>914.28465849999998</v>
      </c>
      <c r="R150" s="1">
        <v>125.8266261</v>
      </c>
      <c r="S150" s="1">
        <v>0.26099544000000002</v>
      </c>
      <c r="T150" s="1">
        <v>1040.5785490000001</v>
      </c>
      <c r="U150" s="1">
        <v>56258.956010000002</v>
      </c>
      <c r="V150" s="1">
        <v>12249.23631</v>
      </c>
      <c r="W150" s="1">
        <v>10.04429404</v>
      </c>
      <c r="X150" s="1">
        <v>12239.192010000001</v>
      </c>
      <c r="Y150" s="1">
        <v>42.230980469999999</v>
      </c>
      <c r="Z150" s="1">
        <v>12242.890450000001</v>
      </c>
      <c r="AA150" s="1">
        <v>11777.290440000001</v>
      </c>
      <c r="AB150" s="1">
        <v>1070.333772</v>
      </c>
      <c r="AC150" s="1">
        <v>663.54864940000004</v>
      </c>
      <c r="AD150" s="1">
        <v>25178.123960000001</v>
      </c>
      <c r="AE150" s="1">
        <v>1777.458312</v>
      </c>
      <c r="AF150" s="1">
        <v>308144.95620000002</v>
      </c>
      <c r="AG150" s="1">
        <v>3197.6636109999999</v>
      </c>
      <c r="AH150" s="1">
        <v>1215.2639750000001</v>
      </c>
      <c r="AI150" s="1">
        <v>20.838688940000001</v>
      </c>
      <c r="AJ150" s="1">
        <v>344.91373809999999</v>
      </c>
      <c r="AK150" s="1">
        <v>2056.425878</v>
      </c>
      <c r="AL150" s="1">
        <v>3020.3529319999998</v>
      </c>
      <c r="AM150" s="1">
        <v>921.23356560000002</v>
      </c>
      <c r="AN150" s="1">
        <v>126.4847302</v>
      </c>
      <c r="AO150" s="1">
        <v>282.81822870000002</v>
      </c>
      <c r="AP150" s="1">
        <v>21.363793820000001</v>
      </c>
      <c r="AQ150" s="1">
        <v>1302.437608</v>
      </c>
      <c r="AR150" s="1">
        <v>1501.2004440000001</v>
      </c>
    </row>
    <row r="151" spans="1:44">
      <c r="A151" s="1">
        <v>2016</v>
      </c>
      <c r="B151" s="1" t="s">
        <v>44</v>
      </c>
      <c r="C151" s="1" t="s">
        <v>54</v>
      </c>
      <c r="D151" s="1">
        <v>265440</v>
      </c>
      <c r="E151" s="1">
        <v>80191.653470000005</v>
      </c>
      <c r="F151" s="1">
        <v>15545.50014</v>
      </c>
      <c r="G151" s="1">
        <v>29248.093270000001</v>
      </c>
      <c r="H151" s="1">
        <v>5823.3935799999999</v>
      </c>
      <c r="I151" s="1">
        <v>4120.7660580000002</v>
      </c>
      <c r="J151" s="1">
        <v>2.6005409099999999</v>
      </c>
      <c r="K151" s="1">
        <v>1700.026981</v>
      </c>
      <c r="L151" s="1">
        <v>645.13761039999997</v>
      </c>
      <c r="M151" s="1">
        <v>558.61592800000005</v>
      </c>
      <c r="N151" s="1">
        <v>3041.4731200000001</v>
      </c>
      <c r="O151" s="1">
        <v>908.97917729999995</v>
      </c>
      <c r="P151" s="1">
        <v>1048.576593</v>
      </c>
      <c r="Q151" s="1">
        <v>924.10139990000005</v>
      </c>
      <c r="R151" s="1">
        <v>124.05846459999999</v>
      </c>
      <c r="S151" s="1">
        <v>0.41672835000000003</v>
      </c>
      <c r="T151" s="1">
        <v>640.66920730000004</v>
      </c>
      <c r="U151" s="1">
        <v>67524.808260000005</v>
      </c>
      <c r="V151" s="1">
        <v>15803.45909</v>
      </c>
      <c r="W151" s="1">
        <v>17.940148570000002</v>
      </c>
      <c r="X151" s="1">
        <v>15785.51894</v>
      </c>
      <c r="Y151" s="1">
        <v>69.391960170000004</v>
      </c>
      <c r="Z151" s="1">
        <v>15803.23942</v>
      </c>
      <c r="AA151" s="1">
        <v>15079.15309</v>
      </c>
      <c r="AB151" s="1">
        <v>1317.995997</v>
      </c>
      <c r="AC151" s="1">
        <v>681.72511489999999</v>
      </c>
      <c r="AD151" s="1">
        <v>25751.011979999999</v>
      </c>
      <c r="AE151" s="1">
        <v>2512.3769689999999</v>
      </c>
      <c r="AF151" s="1">
        <v>407506.67739999999</v>
      </c>
      <c r="AG151" s="1">
        <v>4260.5787380000002</v>
      </c>
      <c r="AH151" s="1">
        <v>1439.307986</v>
      </c>
      <c r="AI151" s="1">
        <v>18.423481800000001</v>
      </c>
      <c r="AJ151" s="1">
        <v>357.50229180000002</v>
      </c>
      <c r="AK151" s="1">
        <v>2142.0383449999999</v>
      </c>
      <c r="AL151" s="1">
        <v>3271.248407</v>
      </c>
      <c r="AM151" s="1">
        <v>930.19902379999996</v>
      </c>
      <c r="AN151" s="1">
        <v>124.74778240000001</v>
      </c>
      <c r="AO151" s="1">
        <v>325.118157</v>
      </c>
      <c r="AP151" s="1">
        <v>15.308558250000001</v>
      </c>
      <c r="AQ151" s="1">
        <v>1650.607669</v>
      </c>
      <c r="AR151" s="1">
        <v>2452.8933619999998</v>
      </c>
    </row>
    <row r="152" spans="1:44">
      <c r="A152" s="1">
        <v>2016</v>
      </c>
      <c r="B152" s="1" t="s">
        <v>44</v>
      </c>
      <c r="C152" s="1" t="s">
        <v>55</v>
      </c>
      <c r="D152" s="1">
        <v>88710</v>
      </c>
      <c r="E152" s="1">
        <v>36883.500679999997</v>
      </c>
      <c r="F152" s="1">
        <v>8245.3956010000002</v>
      </c>
      <c r="G152" s="1">
        <v>15874.03044</v>
      </c>
      <c r="H152" s="1">
        <v>2385.4784289999998</v>
      </c>
      <c r="I152" s="1">
        <v>1542.4965440000001</v>
      </c>
      <c r="J152" s="1">
        <v>1.26115289</v>
      </c>
      <c r="K152" s="1">
        <v>841.72073160000002</v>
      </c>
      <c r="L152" s="1">
        <v>222.38679490000001</v>
      </c>
      <c r="M152" s="1">
        <v>197.37960179999999</v>
      </c>
      <c r="N152" s="1">
        <v>1083.6987839999999</v>
      </c>
      <c r="O152" s="1">
        <v>620.20354970000005</v>
      </c>
      <c r="P152" s="1">
        <v>337.36772610000003</v>
      </c>
      <c r="Q152" s="1">
        <v>294.67817150000002</v>
      </c>
      <c r="R152" s="1">
        <v>42.445445999999997</v>
      </c>
      <c r="S152" s="1">
        <v>0.24410857999999999</v>
      </c>
      <c r="T152" s="1">
        <v>198.7567354</v>
      </c>
      <c r="U152" s="1">
        <v>31838.229060000001</v>
      </c>
      <c r="V152" s="1">
        <v>7832.0218580000001</v>
      </c>
      <c r="W152" s="1">
        <v>11.7456546</v>
      </c>
      <c r="X152" s="1">
        <v>7820.2762030000004</v>
      </c>
      <c r="Y152" s="1">
        <v>36.558274449999999</v>
      </c>
      <c r="Z152" s="1">
        <v>7833.472949</v>
      </c>
      <c r="AA152" s="1">
        <v>7231.0633070000003</v>
      </c>
      <c r="AB152" s="1">
        <v>734.00551059999998</v>
      </c>
      <c r="AC152" s="1">
        <v>200.8112102</v>
      </c>
      <c r="AD152" s="1">
        <v>12105.229149999999</v>
      </c>
      <c r="AE152" s="1">
        <v>1346.841373</v>
      </c>
      <c r="AF152" s="1">
        <v>214963.38630000001</v>
      </c>
      <c r="AG152" s="1">
        <v>2475.0815400000001</v>
      </c>
      <c r="AH152" s="1">
        <v>720.09989410000003</v>
      </c>
      <c r="AI152" s="1">
        <v>4.3529528600000003</v>
      </c>
      <c r="AJ152" s="1">
        <v>166.31916219999999</v>
      </c>
      <c r="AK152" s="1">
        <v>899.9557456</v>
      </c>
      <c r="AL152" s="1">
        <v>1193.9357379999999</v>
      </c>
      <c r="AM152" s="1">
        <v>296.71758540000002</v>
      </c>
      <c r="AN152" s="1">
        <v>42.851840379999999</v>
      </c>
      <c r="AO152" s="1">
        <v>146.3691742</v>
      </c>
      <c r="AP152" s="1">
        <v>7.8640453099999998</v>
      </c>
      <c r="AQ152" s="1">
        <v>931.60551080000005</v>
      </c>
      <c r="AR152" s="1">
        <v>1591.5436870000001</v>
      </c>
    </row>
    <row r="153" spans="1:44">
      <c r="A153" s="1">
        <v>2016</v>
      </c>
      <c r="B153" s="1" t="s">
        <v>44</v>
      </c>
      <c r="C153" s="1" t="s">
        <v>56</v>
      </c>
      <c r="D153" s="1">
        <v>45030</v>
      </c>
      <c r="E153" s="1">
        <v>25619.20505</v>
      </c>
      <c r="F153" s="1">
        <v>8082.4641789999996</v>
      </c>
      <c r="G153" s="1">
        <v>13948.35484</v>
      </c>
      <c r="H153" s="1">
        <v>1188.56906</v>
      </c>
      <c r="I153" s="1">
        <v>532.05802370000004</v>
      </c>
      <c r="J153" s="1">
        <v>1.1497524800000001</v>
      </c>
      <c r="K153" s="1">
        <v>655.36128380000002</v>
      </c>
      <c r="L153" s="1">
        <v>113.08740160000001</v>
      </c>
      <c r="M153" s="1">
        <v>100.8224388</v>
      </c>
      <c r="N153" s="1">
        <v>558.19616829999995</v>
      </c>
      <c r="O153" s="1">
        <v>688.9206471</v>
      </c>
      <c r="P153" s="1">
        <v>204.60382440000001</v>
      </c>
      <c r="Q153" s="1">
        <v>176.42512819999999</v>
      </c>
      <c r="R153" s="1">
        <v>28.129153209999998</v>
      </c>
      <c r="S153" s="1">
        <v>4.9542919999999997E-2</v>
      </c>
      <c r="T153" s="1">
        <v>137.23479889999999</v>
      </c>
      <c r="U153" s="1">
        <v>22627.770710000001</v>
      </c>
      <c r="V153" s="1">
        <v>5754.831502</v>
      </c>
      <c r="W153" s="1">
        <v>10.589083520000001</v>
      </c>
      <c r="X153" s="1">
        <v>5744.2424179999998</v>
      </c>
      <c r="Y153" s="1">
        <v>9.7124887799999993</v>
      </c>
      <c r="Z153" s="1">
        <v>5740.9886269999997</v>
      </c>
      <c r="AA153" s="1">
        <v>5079.7868920000001</v>
      </c>
      <c r="AB153" s="1">
        <v>669.75452619999999</v>
      </c>
      <c r="AC153" s="1">
        <v>130.7568958</v>
      </c>
      <c r="AD153" s="1">
        <v>11835.92727</v>
      </c>
      <c r="AE153" s="1">
        <v>991.72893109999995</v>
      </c>
      <c r="AF153" s="1">
        <v>201304.95329999999</v>
      </c>
      <c r="AG153" s="1">
        <v>1670.85618</v>
      </c>
      <c r="AH153" s="1">
        <v>564.602351</v>
      </c>
      <c r="AI153" s="1">
        <v>0.92912813000000005</v>
      </c>
      <c r="AJ153" s="1">
        <v>137.4975858</v>
      </c>
      <c r="AK153" s="1">
        <v>573.25747479999995</v>
      </c>
      <c r="AL153" s="1">
        <v>643.6646528</v>
      </c>
      <c r="AM153" s="1">
        <v>179.07989660000001</v>
      </c>
      <c r="AN153" s="1">
        <v>28.42337483</v>
      </c>
      <c r="AO153" s="1">
        <v>119.16781469999999</v>
      </c>
      <c r="AP153" s="1">
        <v>7.9222045300000001</v>
      </c>
      <c r="AQ153" s="1">
        <v>784.26578140000004</v>
      </c>
      <c r="AR153" s="1">
        <v>1639.1413869999999</v>
      </c>
    </row>
    <row r="154" spans="1:44">
      <c r="A154" s="1">
        <v>2016</v>
      </c>
      <c r="B154" s="1" t="s">
        <v>44</v>
      </c>
      <c r="C154" s="1" t="s">
        <v>57</v>
      </c>
      <c r="D154" s="1">
        <v>13435</v>
      </c>
      <c r="E154" s="1">
        <v>10865.37033</v>
      </c>
      <c r="F154" s="1">
        <v>3183.7620419999998</v>
      </c>
      <c r="G154" s="1">
        <v>7091.2587450000001</v>
      </c>
      <c r="H154" s="1">
        <v>363.837515</v>
      </c>
      <c r="I154" s="1">
        <v>117.5343123</v>
      </c>
      <c r="J154" s="1">
        <v>0.19776721999999999</v>
      </c>
      <c r="K154" s="1">
        <v>246.1054355</v>
      </c>
      <c r="L154" s="1">
        <v>32.806653599999997</v>
      </c>
      <c r="M154" s="1">
        <v>28.99962442</v>
      </c>
      <c r="N154" s="1">
        <v>178.50856769999999</v>
      </c>
      <c r="O154" s="1">
        <v>415.75810589999998</v>
      </c>
      <c r="P154" s="1">
        <v>72.79181174</v>
      </c>
      <c r="Q154" s="1">
        <v>61.416493180000003</v>
      </c>
      <c r="R154" s="1">
        <v>11.373476650000001</v>
      </c>
      <c r="S154" s="1">
        <v>1.84191E-3</v>
      </c>
      <c r="T154" s="1">
        <v>54.970989539999998</v>
      </c>
      <c r="U154" s="1">
        <v>9717.6970600000004</v>
      </c>
      <c r="V154" s="1">
        <v>2532.9517099999998</v>
      </c>
      <c r="W154" s="1">
        <v>5.2057487299999998</v>
      </c>
      <c r="X154" s="1">
        <v>2527.7459610000001</v>
      </c>
      <c r="Y154" s="1">
        <v>3.13262894</v>
      </c>
      <c r="Z154" s="1">
        <v>2526.9637200000002</v>
      </c>
      <c r="AA154" s="1">
        <v>2150.3871130000002</v>
      </c>
      <c r="AB154" s="1">
        <v>308.56082739999999</v>
      </c>
      <c r="AC154" s="1">
        <v>55.126825920000002</v>
      </c>
      <c r="AD154" s="1">
        <v>4615.2919650000003</v>
      </c>
      <c r="AE154" s="1">
        <v>859.42202210000005</v>
      </c>
      <c r="AF154" s="1">
        <v>89553.707290000006</v>
      </c>
      <c r="AG154" s="1">
        <v>772.14463880000005</v>
      </c>
      <c r="AH154" s="1">
        <v>213.20893620000001</v>
      </c>
      <c r="AI154" s="1">
        <v>0.12479264</v>
      </c>
      <c r="AJ154" s="1">
        <v>48.628314699999997</v>
      </c>
      <c r="AK154" s="1">
        <v>205.36295290000001</v>
      </c>
      <c r="AL154" s="1">
        <v>213.3140487</v>
      </c>
      <c r="AM154" s="1">
        <v>61.740666410000003</v>
      </c>
      <c r="AN154" s="1">
        <v>11.658643440000001</v>
      </c>
      <c r="AO154" s="1">
        <v>56.12332541</v>
      </c>
      <c r="AP154" s="1">
        <v>14.21581815</v>
      </c>
      <c r="AQ154" s="1">
        <v>507.998605</v>
      </c>
      <c r="AR154" s="1">
        <v>802.55582730000003</v>
      </c>
    </row>
    <row r="155" spans="1:44">
      <c r="A155" s="1">
        <v>2016</v>
      </c>
      <c r="B155" s="1" t="s">
        <v>44</v>
      </c>
      <c r="C155" s="1" t="s">
        <v>58</v>
      </c>
      <c r="D155" s="1">
        <v>11985</v>
      </c>
      <c r="E155" s="1">
        <v>15138.61368</v>
      </c>
      <c r="F155" s="1">
        <v>8098.7850470000003</v>
      </c>
      <c r="G155" s="1">
        <v>12058.93088</v>
      </c>
      <c r="H155" s="1">
        <v>374.1735175</v>
      </c>
      <c r="I155" s="1">
        <v>74.991038259999996</v>
      </c>
      <c r="J155" s="1">
        <v>0.27736817000000002</v>
      </c>
      <c r="K155" s="1">
        <v>298.9051111</v>
      </c>
      <c r="L155" s="1">
        <v>29.530538400000001</v>
      </c>
      <c r="M155" s="1">
        <v>25.658099660000001</v>
      </c>
      <c r="N155" s="1">
        <v>173.79045669999999</v>
      </c>
      <c r="O155" s="1">
        <v>914.12216720000004</v>
      </c>
      <c r="P155" s="1">
        <v>76.549556870000004</v>
      </c>
      <c r="Q155" s="1">
        <v>62.18926622</v>
      </c>
      <c r="R155" s="1">
        <v>14.336752410000001</v>
      </c>
      <c r="S155" s="1">
        <v>2.3538239999999998E-2</v>
      </c>
      <c r="T155" s="1">
        <v>51.569858519999997</v>
      </c>
      <c r="U155" s="1">
        <v>13493.219489999999</v>
      </c>
      <c r="V155" s="1">
        <v>3586.4446160000002</v>
      </c>
      <c r="W155" s="1">
        <v>8.7055965700000009</v>
      </c>
      <c r="X155" s="1">
        <v>3577.73902</v>
      </c>
      <c r="Y155" s="1">
        <v>1.56704836</v>
      </c>
      <c r="Z155" s="1">
        <v>3575.6329489999998</v>
      </c>
      <c r="AA155" s="1">
        <v>2937.4037440000002</v>
      </c>
      <c r="AB155" s="1">
        <v>504.48663340000002</v>
      </c>
      <c r="AC155" s="1">
        <v>68.1489799</v>
      </c>
      <c r="AD155" s="1">
        <v>10650.45478</v>
      </c>
      <c r="AE155" s="1">
        <v>1296.528327</v>
      </c>
      <c r="AF155" s="1">
        <v>174094.2262</v>
      </c>
      <c r="AG155" s="1">
        <v>1148.8497970000001</v>
      </c>
      <c r="AH155" s="1">
        <v>270.25433320000002</v>
      </c>
      <c r="AI155" s="1">
        <v>4.6526289999999998E-2</v>
      </c>
      <c r="AJ155" s="1">
        <v>49.119187859999997</v>
      </c>
      <c r="AK155" s="1">
        <v>224.44193989999999</v>
      </c>
      <c r="AL155" s="1">
        <v>222.85823740000001</v>
      </c>
      <c r="AM155" s="1">
        <v>63.200342589999998</v>
      </c>
      <c r="AN155" s="1">
        <v>15.42285401</v>
      </c>
      <c r="AO155" s="1">
        <v>72.381797849999998</v>
      </c>
      <c r="AP155" s="1">
        <v>8.4408409500000001</v>
      </c>
      <c r="AQ155" s="1">
        <v>933.12987250000003</v>
      </c>
      <c r="AR155" s="1">
        <v>2599.876088</v>
      </c>
    </row>
    <row r="156" spans="1:44">
      <c r="A156" s="1">
        <v>2016</v>
      </c>
      <c r="B156" s="1" t="s">
        <v>44</v>
      </c>
      <c r="C156" s="1" t="s">
        <v>59</v>
      </c>
      <c r="D156" s="1">
        <v>2299</v>
      </c>
      <c r="E156" s="1">
        <v>5528.9249259999997</v>
      </c>
      <c r="F156" s="1">
        <v>3585.9015829999998</v>
      </c>
      <c r="G156" s="1">
        <v>3934.1474109999999</v>
      </c>
      <c r="H156" s="1">
        <v>111.5952296</v>
      </c>
      <c r="I156" s="1">
        <v>19.665000509999999</v>
      </c>
      <c r="J156" s="1">
        <v>0</v>
      </c>
      <c r="K156" s="1">
        <v>91.930229080000004</v>
      </c>
      <c r="L156" s="1">
        <v>6.2632952399999997</v>
      </c>
      <c r="M156" s="1">
        <v>5.2200711899999996</v>
      </c>
      <c r="N156" s="1">
        <v>44.116000110000002</v>
      </c>
      <c r="O156" s="1">
        <v>655.16623189999996</v>
      </c>
      <c r="P156" s="1">
        <v>17.103413400000001</v>
      </c>
      <c r="Q156" s="1">
        <v>13.762381230000001</v>
      </c>
      <c r="R156" s="1">
        <v>3.3410321700000001</v>
      </c>
      <c r="S156" s="1">
        <v>0</v>
      </c>
      <c r="T156" s="1">
        <v>8.4274330200000005</v>
      </c>
      <c r="U156" s="1">
        <v>4681.0332520000002</v>
      </c>
      <c r="V156" s="1">
        <v>1263.496705</v>
      </c>
      <c r="W156" s="1">
        <v>3.88987646</v>
      </c>
      <c r="X156" s="1">
        <v>1259.606828</v>
      </c>
      <c r="Y156" s="1">
        <v>0.39701551000000002</v>
      </c>
      <c r="Z156" s="1">
        <v>1259.206134</v>
      </c>
      <c r="AA156" s="1">
        <v>1027.0580070000001</v>
      </c>
      <c r="AB156" s="1">
        <v>197.64917679999999</v>
      </c>
      <c r="AC156" s="1">
        <v>20.30249577</v>
      </c>
      <c r="AD156" s="1">
        <v>3080.2298089999999</v>
      </c>
      <c r="AE156" s="1">
        <v>270.54400879999997</v>
      </c>
      <c r="AF156" s="1">
        <v>64511.2166</v>
      </c>
      <c r="AG156" s="1">
        <v>284.96826529999998</v>
      </c>
      <c r="AH156" s="1">
        <v>85.979189000000005</v>
      </c>
      <c r="AI156" s="1">
        <v>0</v>
      </c>
      <c r="AJ156" s="1">
        <v>14.385138510000001</v>
      </c>
      <c r="AK156" s="1">
        <v>56.408652439999997</v>
      </c>
      <c r="AL156" s="1">
        <v>53.746255679999997</v>
      </c>
      <c r="AM156" s="1">
        <v>13.85096815</v>
      </c>
      <c r="AN156" s="1">
        <v>3.3410321700000001</v>
      </c>
      <c r="AO156" s="1">
        <v>33.78032623</v>
      </c>
      <c r="AP156" s="1">
        <v>16.152182419999999</v>
      </c>
      <c r="AQ156" s="1">
        <v>322.2188362</v>
      </c>
      <c r="AR156" s="1">
        <v>810.36157760000003</v>
      </c>
    </row>
    <row r="157" spans="1:44">
      <c r="A157" s="1">
        <v>2016</v>
      </c>
      <c r="B157" s="1" t="s">
        <v>44</v>
      </c>
      <c r="C157" s="1" t="s">
        <v>60</v>
      </c>
      <c r="D157" s="1">
        <v>977</v>
      </c>
      <c r="E157" s="1">
        <v>3371.420858</v>
      </c>
      <c r="F157" s="1">
        <v>1126.182691</v>
      </c>
      <c r="G157" s="1">
        <v>2128.7525559999999</v>
      </c>
      <c r="H157" s="1">
        <v>63.682532420000001</v>
      </c>
      <c r="I157" s="1">
        <v>8.4046116000000008</v>
      </c>
      <c r="J157" s="1">
        <v>0.93843465000000004</v>
      </c>
      <c r="K157" s="1">
        <v>54.339486170000001</v>
      </c>
      <c r="L157" s="1">
        <v>2.8484001600000002</v>
      </c>
      <c r="M157" s="1">
        <v>2.4557649700000002</v>
      </c>
      <c r="N157" s="1">
        <v>20.67636607</v>
      </c>
      <c r="O157" s="1">
        <v>424.21892509999998</v>
      </c>
      <c r="P157" s="1">
        <v>8.6136868300000007</v>
      </c>
      <c r="Q157" s="1">
        <v>6.4410086599999996</v>
      </c>
      <c r="R157" s="1">
        <v>2.1726781700000002</v>
      </c>
      <c r="S157" s="1">
        <v>0</v>
      </c>
      <c r="T157" s="1">
        <v>3.1833246000000002</v>
      </c>
      <c r="U157" s="1">
        <v>2845.7418579999999</v>
      </c>
      <c r="V157" s="1">
        <v>772.47791219999999</v>
      </c>
      <c r="W157" s="1">
        <v>3.0810364200000002</v>
      </c>
      <c r="X157" s="1">
        <v>769.39687570000001</v>
      </c>
      <c r="Y157" s="1">
        <v>8.6433060000000006E-2</v>
      </c>
      <c r="Z157" s="1">
        <v>769.12439040000004</v>
      </c>
      <c r="AA157" s="1">
        <v>619.36040149999997</v>
      </c>
      <c r="AB157" s="1">
        <v>129.29560380000001</v>
      </c>
      <c r="AC157" s="1">
        <v>13.327784980000001</v>
      </c>
      <c r="AD157" s="1">
        <v>2382.038059</v>
      </c>
      <c r="AE157" s="1">
        <v>193.6454052</v>
      </c>
      <c r="AF157" s="1">
        <v>41311.129809999999</v>
      </c>
      <c r="AG157" s="1">
        <v>152.59942749999999</v>
      </c>
      <c r="AH157" s="1">
        <v>48.617167739999999</v>
      </c>
      <c r="AI157" s="1">
        <v>0</v>
      </c>
      <c r="AJ157" s="1">
        <v>6.7082139600000001</v>
      </c>
      <c r="AK157" s="1">
        <v>30.118085879999999</v>
      </c>
      <c r="AL157" s="1">
        <v>27.40046895</v>
      </c>
      <c r="AM157" s="1">
        <v>6.5287279099999997</v>
      </c>
      <c r="AN157" s="1">
        <v>2.1726781700000002</v>
      </c>
      <c r="AO157" s="1">
        <v>13.06026978</v>
      </c>
      <c r="AP157" s="1">
        <v>1.8010837900000001</v>
      </c>
      <c r="AQ157" s="1">
        <v>282.95263019999999</v>
      </c>
      <c r="AR157" s="1">
        <v>366.37869430000001</v>
      </c>
    </row>
    <row r="158" spans="1:44">
      <c r="A158" s="1">
        <v>2016</v>
      </c>
      <c r="B158" s="1" t="s">
        <v>44</v>
      </c>
      <c r="C158" s="1" t="s">
        <v>61</v>
      </c>
      <c r="D158" s="1">
        <v>1461</v>
      </c>
      <c r="E158" s="1">
        <v>13462.407999999999</v>
      </c>
      <c r="F158" s="1">
        <v>4060.5474720000002</v>
      </c>
      <c r="G158" s="1">
        <v>11096.35276</v>
      </c>
      <c r="H158" s="1">
        <v>262.69857289999999</v>
      </c>
      <c r="I158" s="1">
        <v>12.437136779999999</v>
      </c>
      <c r="J158" s="1">
        <v>7.7621000000000005E-4</v>
      </c>
      <c r="K158" s="1">
        <v>250.26065990000001</v>
      </c>
      <c r="L158" s="1">
        <v>4.3727037600000003</v>
      </c>
      <c r="M158" s="1">
        <v>3.7577425899999999</v>
      </c>
      <c r="N158" s="1">
        <v>44.039773189999998</v>
      </c>
      <c r="O158" s="1">
        <v>1701.030473</v>
      </c>
      <c r="P158" s="1">
        <v>25.45903667</v>
      </c>
      <c r="Q158" s="1">
        <v>20.70646618</v>
      </c>
      <c r="R158" s="1">
        <v>4.7525704900000001</v>
      </c>
      <c r="S158" s="1">
        <v>0</v>
      </c>
      <c r="T158" s="1">
        <v>3.5686744199999998</v>
      </c>
      <c r="U158" s="1">
        <v>11417.481019999999</v>
      </c>
      <c r="V158" s="1">
        <v>3124.689973</v>
      </c>
      <c r="W158" s="1">
        <v>24.694339119999999</v>
      </c>
      <c r="X158" s="1">
        <v>3099.9956339999999</v>
      </c>
      <c r="Y158" s="1">
        <v>0.46008190999999998</v>
      </c>
      <c r="Z158" s="1">
        <v>3099.8337959999999</v>
      </c>
      <c r="AA158" s="1">
        <v>2335.2726990000001</v>
      </c>
      <c r="AB158" s="1">
        <v>565.14462089999995</v>
      </c>
      <c r="AC158" s="1">
        <v>47.947872920000002</v>
      </c>
      <c r="AD158" s="1">
        <v>7419.723129</v>
      </c>
      <c r="AE158" s="1">
        <v>1282.2950530000001</v>
      </c>
      <c r="AF158" s="1">
        <v>125378.2549</v>
      </c>
      <c r="AG158" s="1">
        <v>380.18071320000001</v>
      </c>
      <c r="AH158" s="1">
        <v>238.38468280000001</v>
      </c>
      <c r="AI158" s="1">
        <v>0</v>
      </c>
      <c r="AJ158" s="1">
        <v>18.196558060000001</v>
      </c>
      <c r="AK158" s="1">
        <v>46.426626380000002</v>
      </c>
      <c r="AL158" s="1">
        <v>56.068252409999999</v>
      </c>
      <c r="AM158" s="1">
        <v>20.789874359999999</v>
      </c>
      <c r="AN158" s="1">
        <v>4.7525704900000001</v>
      </c>
      <c r="AO158" s="1">
        <v>48.593863149999997</v>
      </c>
      <c r="AP158" s="1">
        <v>6.64724468</v>
      </c>
      <c r="AQ158" s="1">
        <v>961.80347359999996</v>
      </c>
      <c r="AR158" s="1">
        <v>3025.1414850000001</v>
      </c>
    </row>
    <row r="159" spans="1:44">
      <c r="A159" s="1">
        <v>2016</v>
      </c>
      <c r="B159" s="1" t="s">
        <v>62</v>
      </c>
      <c r="C159" s="1" t="s">
        <v>45</v>
      </c>
      <c r="D159" s="1">
        <v>1122557</v>
      </c>
      <c r="E159" s="1">
        <v>1877.66625</v>
      </c>
      <c r="F159" s="1">
        <v>8666.7235049999999</v>
      </c>
      <c r="G159" s="1">
        <v>53229.46761</v>
      </c>
      <c r="H159" s="1">
        <v>195.97180760000001</v>
      </c>
      <c r="I159" s="1">
        <v>184.9677667</v>
      </c>
      <c r="J159" s="1">
        <v>0.66762107999999998</v>
      </c>
      <c r="K159" s="1">
        <v>10.33641984</v>
      </c>
      <c r="L159" s="1">
        <v>113.2562659</v>
      </c>
      <c r="M159" s="1">
        <v>58.805186640000002</v>
      </c>
      <c r="N159" s="1">
        <v>697.53752770000006</v>
      </c>
      <c r="O159" s="1">
        <v>121.0686977</v>
      </c>
      <c r="P159" s="1">
        <v>8.66931327</v>
      </c>
      <c r="Q159" s="1">
        <v>6.4976567100000002</v>
      </c>
      <c r="R159" s="1">
        <v>0.57759433000000004</v>
      </c>
      <c r="S159" s="1">
        <v>1.59406223</v>
      </c>
      <c r="T159" s="1">
        <v>87.651399519999998</v>
      </c>
      <c r="U159" s="1">
        <v>594.70605160000002</v>
      </c>
      <c r="V159" s="1">
        <v>1.2885499999999999E-2</v>
      </c>
      <c r="W159" s="1">
        <v>0</v>
      </c>
      <c r="X159" s="1">
        <v>1.2885499999999999E-2</v>
      </c>
      <c r="Y159" s="1">
        <v>34.399617919999997</v>
      </c>
      <c r="Z159" s="1">
        <v>34.412369259999998</v>
      </c>
      <c r="AA159" s="1">
        <v>281.75876119999998</v>
      </c>
      <c r="AB159" s="1">
        <v>3.0125194899999999</v>
      </c>
      <c r="AC159" s="1">
        <v>251.26122119999999</v>
      </c>
      <c r="AD159" s="1">
        <v>21214.048869999999</v>
      </c>
      <c r="AE159" s="1">
        <v>12300.789059999999</v>
      </c>
      <c r="AF159" s="1">
        <v>286630.40370000002</v>
      </c>
      <c r="AG159" s="1">
        <v>3606.827413</v>
      </c>
      <c r="AH159" s="1">
        <v>80.182985329999994</v>
      </c>
      <c r="AI159" s="1">
        <v>1.3180335700000001</v>
      </c>
      <c r="AJ159" s="1">
        <v>20.71974732</v>
      </c>
      <c r="AK159" s="1">
        <v>390.82730420000001</v>
      </c>
      <c r="AL159" s="1">
        <v>2317.5385670000001</v>
      </c>
      <c r="AM159" s="1">
        <v>16.553081559999999</v>
      </c>
      <c r="AN159" s="1">
        <v>1.1713309599999999</v>
      </c>
      <c r="AO159" s="1">
        <v>347.62584909999998</v>
      </c>
      <c r="AP159" s="1">
        <v>6.5134507399999997</v>
      </c>
      <c r="AQ159" s="1">
        <v>792.72539370000004</v>
      </c>
      <c r="AR159" s="1">
        <v>3323.9881759999998</v>
      </c>
    </row>
    <row r="160" spans="1:44">
      <c r="A160" s="1">
        <v>2016</v>
      </c>
      <c r="B160" s="1" t="s">
        <v>62</v>
      </c>
      <c r="C160" s="1" t="s">
        <v>46</v>
      </c>
      <c r="D160" s="1">
        <v>659056</v>
      </c>
      <c r="E160" s="1">
        <v>7368.9858050000003</v>
      </c>
      <c r="F160" s="1">
        <v>2270.894667</v>
      </c>
      <c r="G160" s="1">
        <v>21000.592489999999</v>
      </c>
      <c r="H160" s="1">
        <v>177.26627590000001</v>
      </c>
      <c r="I160" s="1">
        <v>168.17905150000001</v>
      </c>
      <c r="J160" s="1">
        <v>0.29772154000000001</v>
      </c>
      <c r="K160" s="1">
        <v>8.7895027700000004</v>
      </c>
      <c r="L160" s="1">
        <v>109.15378819999999</v>
      </c>
      <c r="M160" s="1">
        <v>53.985385890000003</v>
      </c>
      <c r="N160" s="1">
        <v>433.37690959999998</v>
      </c>
      <c r="O160" s="1">
        <v>80.532103169999999</v>
      </c>
      <c r="P160" s="1">
        <v>2.7124256199999999</v>
      </c>
      <c r="Q160" s="1">
        <v>2.1059796400000002</v>
      </c>
      <c r="R160" s="1">
        <v>0.23217075000000001</v>
      </c>
      <c r="S160" s="1">
        <v>0.37427523000000001</v>
      </c>
      <c r="T160" s="1">
        <v>972.24999809999997</v>
      </c>
      <c r="U160" s="1">
        <v>5539.7089189999997</v>
      </c>
      <c r="V160" s="1">
        <v>0.12607183</v>
      </c>
      <c r="W160" s="1">
        <v>0</v>
      </c>
      <c r="X160" s="1">
        <v>0.12607183</v>
      </c>
      <c r="Y160" s="1">
        <v>4.70165904</v>
      </c>
      <c r="Z160" s="1">
        <v>4.82634936</v>
      </c>
      <c r="AA160" s="1">
        <v>56.92235204</v>
      </c>
      <c r="AB160" s="1">
        <v>0.59363924999999995</v>
      </c>
      <c r="AC160" s="1">
        <v>53.095169830000003</v>
      </c>
      <c r="AD160" s="1">
        <v>7067.484966</v>
      </c>
      <c r="AE160" s="1">
        <v>2552.7894390000001</v>
      </c>
      <c r="AF160" s="1">
        <v>98817.876449999996</v>
      </c>
      <c r="AG160" s="1">
        <v>1080.1749239999999</v>
      </c>
      <c r="AH160" s="1">
        <v>32.880282860000001</v>
      </c>
      <c r="AI160" s="1">
        <v>0.43675614000000001</v>
      </c>
      <c r="AJ160" s="1">
        <v>7.1832734499999997</v>
      </c>
      <c r="AK160" s="1">
        <v>190.34568730000001</v>
      </c>
      <c r="AL160" s="1">
        <v>742.29410989999997</v>
      </c>
      <c r="AM160" s="1">
        <v>2.6455186899999998</v>
      </c>
      <c r="AN160" s="1">
        <v>0.25860978000000001</v>
      </c>
      <c r="AO160" s="1">
        <v>82.887539889999999</v>
      </c>
      <c r="AP160" s="1">
        <v>0.93706310000000004</v>
      </c>
      <c r="AQ160" s="1">
        <v>219.6023137</v>
      </c>
      <c r="AR160" s="1">
        <v>588.20192420000001</v>
      </c>
    </row>
    <row r="161" spans="1:44">
      <c r="A161" s="1">
        <v>2016</v>
      </c>
      <c r="B161" s="1" t="s">
        <v>62</v>
      </c>
      <c r="C161" s="1" t="s">
        <v>47</v>
      </c>
      <c r="D161" s="1">
        <v>1765868</v>
      </c>
      <c r="E161" s="1">
        <v>39318.656730000002</v>
      </c>
      <c r="F161" s="1">
        <v>5827.4226660000004</v>
      </c>
      <c r="G161" s="1">
        <v>31498.302540000001</v>
      </c>
      <c r="H161" s="1">
        <v>963.54784419999999</v>
      </c>
      <c r="I161" s="1">
        <v>916.98015539999994</v>
      </c>
      <c r="J161" s="1">
        <v>1.87762896</v>
      </c>
      <c r="K161" s="1">
        <v>44.690059859999998</v>
      </c>
      <c r="L161" s="1">
        <v>810.74523369999997</v>
      </c>
      <c r="M161" s="1">
        <v>455.97681549999999</v>
      </c>
      <c r="N161" s="1">
        <v>1877.20966</v>
      </c>
      <c r="O161" s="1">
        <v>270.35521160000002</v>
      </c>
      <c r="P161" s="1">
        <v>13.22540347</v>
      </c>
      <c r="Q161" s="1">
        <v>10.937440280000001</v>
      </c>
      <c r="R161" s="1">
        <v>1.08311307</v>
      </c>
      <c r="S161" s="1">
        <v>1.2048501199999999</v>
      </c>
      <c r="T161" s="1">
        <v>4998.2532869999995</v>
      </c>
      <c r="U161" s="1">
        <v>29929.343270000001</v>
      </c>
      <c r="V161" s="1">
        <v>0.67928683000000001</v>
      </c>
      <c r="W161" s="1">
        <v>3.6579999999999999E-5</v>
      </c>
      <c r="X161" s="1">
        <v>0.67925025000000006</v>
      </c>
      <c r="Y161" s="1">
        <v>12.090733200000001</v>
      </c>
      <c r="Z161" s="1">
        <v>12.763144</v>
      </c>
      <c r="AA161" s="1">
        <v>342.1804965</v>
      </c>
      <c r="AB161" s="1">
        <v>1.2147178300000001</v>
      </c>
      <c r="AC161" s="1">
        <v>333.05196080000002</v>
      </c>
      <c r="AD161" s="1">
        <v>15915.6621</v>
      </c>
      <c r="AE161" s="1">
        <v>4314.9879719999999</v>
      </c>
      <c r="AF161" s="1">
        <v>238386.07</v>
      </c>
      <c r="AG161" s="1">
        <v>2273.4496989999998</v>
      </c>
      <c r="AH161" s="1">
        <v>89.804099339999993</v>
      </c>
      <c r="AI161" s="1">
        <v>1.8492575099999999</v>
      </c>
      <c r="AJ161" s="1">
        <v>24.18831892</v>
      </c>
      <c r="AK161" s="1">
        <v>1045.0814170000001</v>
      </c>
      <c r="AL161" s="1">
        <v>2796.4743659999999</v>
      </c>
      <c r="AM161" s="1">
        <v>12.673355859999999</v>
      </c>
      <c r="AN161" s="1">
        <v>1.3095288899999999</v>
      </c>
      <c r="AO161" s="1">
        <v>221.39064049999999</v>
      </c>
      <c r="AP161" s="1">
        <v>3.4084242300000001</v>
      </c>
      <c r="AQ161" s="1">
        <v>432.93582479999998</v>
      </c>
      <c r="AR161" s="1">
        <v>1165.1055040000001</v>
      </c>
    </row>
    <row r="162" spans="1:44">
      <c r="A162" s="1">
        <v>2016</v>
      </c>
      <c r="B162" s="1" t="s">
        <v>62</v>
      </c>
      <c r="C162" s="1" t="s">
        <v>48</v>
      </c>
      <c r="D162" s="1">
        <v>3354498</v>
      </c>
      <c r="E162" s="1">
        <v>112405.79459999999</v>
      </c>
      <c r="F162" s="1">
        <v>11532.9843</v>
      </c>
      <c r="G162" s="1">
        <v>32454.69557</v>
      </c>
      <c r="H162" s="1">
        <v>3381.7470349999999</v>
      </c>
      <c r="I162" s="1">
        <v>3218.232927</v>
      </c>
      <c r="J162" s="1">
        <v>4.0474817999999999</v>
      </c>
      <c r="K162" s="1">
        <v>159.46662649999999</v>
      </c>
      <c r="L162" s="1">
        <v>2594.5490089999998</v>
      </c>
      <c r="M162" s="1">
        <v>1698.1988650000001</v>
      </c>
      <c r="N162" s="1">
        <v>4494.9301009999999</v>
      </c>
      <c r="O162" s="1">
        <v>675.10350389999996</v>
      </c>
      <c r="P162" s="1">
        <v>31.21196763</v>
      </c>
      <c r="Q162" s="1">
        <v>27.19448594</v>
      </c>
      <c r="R162" s="1">
        <v>3.0629443599999999</v>
      </c>
      <c r="S162" s="1">
        <v>0.95453732999999996</v>
      </c>
      <c r="T162" s="1">
        <v>14482.25819</v>
      </c>
      <c r="U162" s="1">
        <v>85047.795979999995</v>
      </c>
      <c r="V162" s="1">
        <v>680.58450679999999</v>
      </c>
      <c r="W162" s="1">
        <v>4.7012760000000001E-2</v>
      </c>
      <c r="X162" s="1">
        <v>680.5374941</v>
      </c>
      <c r="Y162" s="1">
        <v>15.090292160000001</v>
      </c>
      <c r="Z162" s="1">
        <v>689.34821839999995</v>
      </c>
      <c r="AA162" s="1">
        <v>1791.7479020000001</v>
      </c>
      <c r="AB162" s="1">
        <v>138.76303720000001</v>
      </c>
      <c r="AC162" s="1">
        <v>1252.4203110000001</v>
      </c>
      <c r="AD162" s="1">
        <v>25051.909019999999</v>
      </c>
      <c r="AE162" s="1">
        <v>4703.2167449999997</v>
      </c>
      <c r="AF162" s="1">
        <v>286370.25839999999</v>
      </c>
      <c r="AG162" s="1">
        <v>2595.7222529999999</v>
      </c>
      <c r="AH162" s="1">
        <v>196.45930139999999</v>
      </c>
      <c r="AI162" s="1">
        <v>3.1070984300000002</v>
      </c>
      <c r="AJ162" s="1">
        <v>66.607942539999996</v>
      </c>
      <c r="AK162" s="1">
        <v>3221.8344320000001</v>
      </c>
      <c r="AL162" s="1">
        <v>5722.4969069999997</v>
      </c>
      <c r="AM162" s="1">
        <v>29.041591369999999</v>
      </c>
      <c r="AN162" s="1">
        <v>3.1585203000000002</v>
      </c>
      <c r="AO162" s="1">
        <v>275.08318359999998</v>
      </c>
      <c r="AP162" s="1">
        <v>3.07665027</v>
      </c>
      <c r="AQ162" s="1">
        <v>771.50788790000001</v>
      </c>
      <c r="AR162" s="1">
        <v>1114.370954</v>
      </c>
    </row>
    <row r="163" spans="1:44">
      <c r="A163" s="1">
        <v>2016</v>
      </c>
      <c r="B163" s="1" t="s">
        <v>62</v>
      </c>
      <c r="C163" s="1" t="s">
        <v>49</v>
      </c>
      <c r="D163" s="1">
        <v>2701424</v>
      </c>
      <c r="E163" s="1">
        <v>144349.2518</v>
      </c>
      <c r="F163" s="1">
        <v>16275.9265</v>
      </c>
      <c r="G163" s="1">
        <v>37140.13364</v>
      </c>
      <c r="H163" s="1">
        <v>5013.9513360000001</v>
      </c>
      <c r="I163" s="1">
        <v>4620.129081</v>
      </c>
      <c r="J163" s="1">
        <v>4.4988986400000002</v>
      </c>
      <c r="K163" s="1">
        <v>389.32335610000001</v>
      </c>
      <c r="L163" s="1">
        <v>2663.7592169999998</v>
      </c>
      <c r="M163" s="1">
        <v>2099.4980770000002</v>
      </c>
      <c r="N163" s="1">
        <v>6081.6061040000004</v>
      </c>
      <c r="O163" s="1">
        <v>809.30765369999995</v>
      </c>
      <c r="P163" s="1">
        <v>50.563247390000001</v>
      </c>
      <c r="Q163" s="1">
        <v>44.494299230000003</v>
      </c>
      <c r="R163" s="1">
        <v>5.3486304999999996</v>
      </c>
      <c r="S163" s="1">
        <v>0.72031765999999997</v>
      </c>
      <c r="T163" s="1">
        <v>17933.576400000002</v>
      </c>
      <c r="U163" s="1">
        <v>109696.9898</v>
      </c>
      <c r="V163" s="1">
        <v>5193.1116039999997</v>
      </c>
      <c r="W163" s="1">
        <v>0.74721453999999998</v>
      </c>
      <c r="X163" s="1">
        <v>5192.3643890000003</v>
      </c>
      <c r="Y163" s="1">
        <v>23.322280339999999</v>
      </c>
      <c r="Z163" s="1">
        <v>5163.745637</v>
      </c>
      <c r="AA163" s="1">
        <v>6823.2930029999998</v>
      </c>
      <c r="AB163" s="1">
        <v>988.96176290000005</v>
      </c>
      <c r="AC163" s="1">
        <v>2704.491344</v>
      </c>
      <c r="AD163" s="1">
        <v>33981.16848</v>
      </c>
      <c r="AE163" s="1">
        <v>5101.2310589999997</v>
      </c>
      <c r="AF163" s="1">
        <v>425277.0661</v>
      </c>
      <c r="AG163" s="1">
        <v>3624.1866789999999</v>
      </c>
      <c r="AH163" s="1">
        <v>453.18441660000002</v>
      </c>
      <c r="AI163" s="1">
        <v>8.27370801</v>
      </c>
      <c r="AJ163" s="1">
        <v>136.84240980000001</v>
      </c>
      <c r="AK163" s="1">
        <v>4490.1776810000001</v>
      </c>
      <c r="AL163" s="1">
        <v>8244.4895940000006</v>
      </c>
      <c r="AM163" s="1">
        <v>48.440992829999999</v>
      </c>
      <c r="AN163" s="1">
        <v>5.4827578700000004</v>
      </c>
      <c r="AO163" s="1">
        <v>401.34266500000001</v>
      </c>
      <c r="AP163" s="1">
        <v>5.0990832399999997</v>
      </c>
      <c r="AQ163" s="1">
        <v>1234.2552889999999</v>
      </c>
      <c r="AR163" s="1">
        <v>1436.6007010000001</v>
      </c>
    </row>
    <row r="164" spans="1:44">
      <c r="A164" s="1">
        <v>2016</v>
      </c>
      <c r="B164" s="1" t="s">
        <v>62</v>
      </c>
      <c r="C164" s="1" t="s">
        <v>50</v>
      </c>
      <c r="D164" s="1">
        <v>1069851</v>
      </c>
      <c r="E164" s="1">
        <v>85890.921499999997</v>
      </c>
      <c r="F164" s="1">
        <v>10522.434380000001</v>
      </c>
      <c r="G164" s="1">
        <v>20584.500339999999</v>
      </c>
      <c r="H164" s="1">
        <v>2837.4590840000001</v>
      </c>
      <c r="I164" s="1">
        <v>2495.5286000000001</v>
      </c>
      <c r="J164" s="1">
        <v>2.0217328000000001</v>
      </c>
      <c r="K164" s="1">
        <v>339.90875080000001</v>
      </c>
      <c r="L164" s="1">
        <v>1118.3383249999999</v>
      </c>
      <c r="M164" s="1">
        <v>1055.2025739999999</v>
      </c>
      <c r="N164" s="1">
        <v>3520.3061499999999</v>
      </c>
      <c r="O164" s="1">
        <v>509.2716092</v>
      </c>
      <c r="P164" s="1">
        <v>41.606084619999997</v>
      </c>
      <c r="Q164" s="1">
        <v>36.65392688</v>
      </c>
      <c r="R164" s="1">
        <v>4.5834021199999997</v>
      </c>
      <c r="S164" s="1">
        <v>0.36875562000000001</v>
      </c>
      <c r="T164" s="1">
        <v>10753.558940000001</v>
      </c>
      <c r="U164" s="1">
        <v>66055.17873</v>
      </c>
      <c r="V164" s="1">
        <v>7024.5614750000004</v>
      </c>
      <c r="W164" s="1">
        <v>1.34424484</v>
      </c>
      <c r="X164" s="1">
        <v>7023.2172309999996</v>
      </c>
      <c r="Y164" s="1">
        <v>19.953656890000001</v>
      </c>
      <c r="Z164" s="1">
        <v>7008.8552179999997</v>
      </c>
      <c r="AA164" s="1">
        <v>7311.2415620000002</v>
      </c>
      <c r="AB164" s="1">
        <v>1304.87453</v>
      </c>
      <c r="AC164" s="1">
        <v>1671.0271499999999</v>
      </c>
      <c r="AD164" s="1">
        <v>19955.413990000001</v>
      </c>
      <c r="AE164" s="1">
        <v>3029.2920049999998</v>
      </c>
      <c r="AF164" s="1">
        <v>203785.02739999999</v>
      </c>
      <c r="AG164" s="1">
        <v>2473.3753959999999</v>
      </c>
      <c r="AH164" s="1">
        <v>407.7693663</v>
      </c>
      <c r="AI164" s="1">
        <v>8.8228411799999993</v>
      </c>
      <c r="AJ164" s="1">
        <v>124.8986483</v>
      </c>
      <c r="AK164" s="1">
        <v>2610.8628800000001</v>
      </c>
      <c r="AL164" s="1">
        <v>5090.3050119999998</v>
      </c>
      <c r="AM164" s="1">
        <v>38.948115469999998</v>
      </c>
      <c r="AN164" s="1">
        <v>4.7466466699999996</v>
      </c>
      <c r="AO164" s="1">
        <v>256.3923289</v>
      </c>
      <c r="AP164" s="1">
        <v>4.4610579499999998</v>
      </c>
      <c r="AQ164" s="1">
        <v>888.88011610000001</v>
      </c>
      <c r="AR164" s="1">
        <v>953.78218260000006</v>
      </c>
    </row>
    <row r="165" spans="1:44">
      <c r="A165" s="1">
        <v>2016</v>
      </c>
      <c r="B165" s="1" t="s">
        <v>62</v>
      </c>
      <c r="C165" s="1" t="s">
        <v>51</v>
      </c>
      <c r="D165" s="1">
        <v>706759</v>
      </c>
      <c r="E165" s="1">
        <v>77668.51152</v>
      </c>
      <c r="F165" s="1">
        <v>9895.8334560000003</v>
      </c>
      <c r="G165" s="1">
        <v>17529.218509999999</v>
      </c>
      <c r="H165" s="1">
        <v>3317.9783389999998</v>
      </c>
      <c r="I165" s="1">
        <v>2773.983107</v>
      </c>
      <c r="J165" s="1">
        <v>2.0540015399999998</v>
      </c>
      <c r="K165" s="1">
        <v>541.94122979999997</v>
      </c>
      <c r="L165" s="1">
        <v>850.48405609999998</v>
      </c>
      <c r="M165" s="1">
        <v>840.91138130000002</v>
      </c>
      <c r="N165" s="1">
        <v>3587.3821720000001</v>
      </c>
      <c r="O165" s="1">
        <v>483.4893806</v>
      </c>
      <c r="P165" s="1">
        <v>42.008625219999999</v>
      </c>
      <c r="Q165" s="1">
        <v>36.812132849999998</v>
      </c>
      <c r="R165" s="1">
        <v>4.8697122100000003</v>
      </c>
      <c r="S165" s="1">
        <v>0.32678015999999999</v>
      </c>
      <c r="T165" s="1">
        <v>6440.7368909999996</v>
      </c>
      <c r="U165" s="1">
        <v>62105.520669999998</v>
      </c>
      <c r="V165" s="1">
        <v>9707.5591650000006</v>
      </c>
      <c r="W165" s="1">
        <v>2.8012233499999999</v>
      </c>
      <c r="X165" s="1">
        <v>9704.7579420000002</v>
      </c>
      <c r="Y165" s="1">
        <v>25.452627410000002</v>
      </c>
      <c r="Z165" s="1">
        <v>9689.4467449999993</v>
      </c>
      <c r="AA165" s="1">
        <v>9280.8804689999997</v>
      </c>
      <c r="AB165" s="1">
        <v>1493.2791199999999</v>
      </c>
      <c r="AC165" s="1">
        <v>1151.6352710000001</v>
      </c>
      <c r="AD165" s="1">
        <v>17268.827109999998</v>
      </c>
      <c r="AE165" s="1">
        <v>2543.711562</v>
      </c>
      <c r="AF165" s="1">
        <v>185885.32260000001</v>
      </c>
      <c r="AG165" s="1">
        <v>2580.0129240000001</v>
      </c>
      <c r="AH165" s="1">
        <v>560.44410479999999</v>
      </c>
      <c r="AI165" s="1">
        <v>19.505094459999999</v>
      </c>
      <c r="AJ165" s="1">
        <v>166.65060070000001</v>
      </c>
      <c r="AK165" s="1">
        <v>2269.7158749999999</v>
      </c>
      <c r="AL165" s="1">
        <v>4602.258691</v>
      </c>
      <c r="AM165" s="1">
        <v>38.615700320000002</v>
      </c>
      <c r="AN165" s="1">
        <v>4.9803835699999999</v>
      </c>
      <c r="AO165" s="1">
        <v>251.31952799999999</v>
      </c>
      <c r="AP165" s="1">
        <v>2.89783838</v>
      </c>
      <c r="AQ165" s="1">
        <v>821.91288340000006</v>
      </c>
      <c r="AR165" s="1">
        <v>1309.5597540000001</v>
      </c>
    </row>
    <row r="166" spans="1:44">
      <c r="A166" s="1">
        <v>2016</v>
      </c>
      <c r="B166" s="1" t="s">
        <v>62</v>
      </c>
      <c r="C166" s="1" t="s">
        <v>52</v>
      </c>
      <c r="D166" s="1">
        <v>479697</v>
      </c>
      <c r="E166" s="1">
        <v>73593.643620000003</v>
      </c>
      <c r="F166" s="1">
        <v>9598.9574780000003</v>
      </c>
      <c r="G166" s="1">
        <v>16686.135190000001</v>
      </c>
      <c r="H166" s="1">
        <v>4137.3550580000001</v>
      </c>
      <c r="I166" s="1">
        <v>3288.6408889999998</v>
      </c>
      <c r="J166" s="1">
        <v>2.3452815</v>
      </c>
      <c r="K166" s="1">
        <v>846.36888739999995</v>
      </c>
      <c r="L166" s="1">
        <v>601.64490599999999</v>
      </c>
      <c r="M166" s="1">
        <v>598.24001859999998</v>
      </c>
      <c r="N166" s="1">
        <v>3471.7601009999998</v>
      </c>
      <c r="O166" s="1">
        <v>534.45022870000003</v>
      </c>
      <c r="P166" s="1">
        <v>43.017651479999998</v>
      </c>
      <c r="Q166" s="1">
        <v>38.399840310000002</v>
      </c>
      <c r="R166" s="1">
        <v>4.3173912799999998</v>
      </c>
      <c r="S166" s="1">
        <v>0.30041989000000002</v>
      </c>
      <c r="T166" s="1">
        <v>3034.797376</v>
      </c>
      <c r="U166" s="1">
        <v>61172.378279999997</v>
      </c>
      <c r="V166" s="1">
        <v>11819.525250000001</v>
      </c>
      <c r="W166" s="1">
        <v>5.7992963199999998</v>
      </c>
      <c r="X166" s="1">
        <v>11813.72596</v>
      </c>
      <c r="Y166" s="1">
        <v>35.233863300000003</v>
      </c>
      <c r="Z166" s="1">
        <v>11795.350280000001</v>
      </c>
      <c r="AA166" s="1">
        <v>10990.64746</v>
      </c>
      <c r="AB166" s="1">
        <v>1498.7582150000001</v>
      </c>
      <c r="AC166" s="1">
        <v>769.10738379999998</v>
      </c>
      <c r="AD166" s="1">
        <v>16728.457729999998</v>
      </c>
      <c r="AE166" s="1">
        <v>2494.0055170000001</v>
      </c>
      <c r="AF166" s="1">
        <v>191766.2218</v>
      </c>
      <c r="AG166" s="1">
        <v>2978.71938</v>
      </c>
      <c r="AH166" s="1">
        <v>772.5276136</v>
      </c>
      <c r="AI166" s="1">
        <v>21.761759290000001</v>
      </c>
      <c r="AJ166" s="1">
        <v>207.4501176</v>
      </c>
      <c r="AK166" s="1">
        <v>1892.4541859999999</v>
      </c>
      <c r="AL166" s="1">
        <v>4018.6399230000002</v>
      </c>
      <c r="AM166" s="1">
        <v>39.19588246</v>
      </c>
      <c r="AN166" s="1">
        <v>4.3300650699999998</v>
      </c>
      <c r="AO166" s="1">
        <v>272.55955139999998</v>
      </c>
      <c r="AP166" s="1">
        <v>2.33679587</v>
      </c>
      <c r="AQ166" s="1">
        <v>825.2295312</v>
      </c>
      <c r="AR166" s="1">
        <v>865.38154699999996</v>
      </c>
    </row>
    <row r="167" spans="1:44">
      <c r="A167" s="1">
        <v>2016</v>
      </c>
      <c r="B167" s="1" t="s">
        <v>62</v>
      </c>
      <c r="C167" s="1" t="s">
        <v>53</v>
      </c>
      <c r="D167" s="1">
        <v>197961</v>
      </c>
      <c r="E167" s="1">
        <v>42426.381099999999</v>
      </c>
      <c r="F167" s="1">
        <v>6248.4547480000001</v>
      </c>
      <c r="G167" s="1">
        <v>10853.10456</v>
      </c>
      <c r="H167" s="1">
        <v>2855.20262</v>
      </c>
      <c r="I167" s="1">
        <v>2254.540086</v>
      </c>
      <c r="J167" s="1">
        <v>1.5250633899999999</v>
      </c>
      <c r="K167" s="1">
        <v>599.13747069999999</v>
      </c>
      <c r="L167" s="1">
        <v>249.4579718</v>
      </c>
      <c r="M167" s="1">
        <v>249.988675</v>
      </c>
      <c r="N167" s="1">
        <v>1963.2277260000001</v>
      </c>
      <c r="O167" s="1">
        <v>390.92150809999998</v>
      </c>
      <c r="P167" s="1">
        <v>28.498775869999999</v>
      </c>
      <c r="Q167" s="1">
        <v>25.61634944</v>
      </c>
      <c r="R167" s="1">
        <v>2.84829621</v>
      </c>
      <c r="S167" s="1">
        <v>3.4130220000000003E-2</v>
      </c>
      <c r="T167" s="1">
        <v>748.73470029999999</v>
      </c>
      <c r="U167" s="1">
        <v>35940.349130000002</v>
      </c>
      <c r="V167" s="1">
        <v>7819.0241379999998</v>
      </c>
      <c r="W167" s="1">
        <v>5.6285116100000003</v>
      </c>
      <c r="X167" s="1">
        <v>7813.3956269999999</v>
      </c>
      <c r="Y167" s="1">
        <v>26.798431749999999</v>
      </c>
      <c r="Z167" s="1">
        <v>7803.1880039999996</v>
      </c>
      <c r="AA167" s="1">
        <v>7332.7160590000003</v>
      </c>
      <c r="AB167" s="1">
        <v>809.71694000000002</v>
      </c>
      <c r="AC167" s="1">
        <v>384.48859659999999</v>
      </c>
      <c r="AD167" s="1">
        <v>9742.1420259999995</v>
      </c>
      <c r="AE167" s="1">
        <v>2006.8978139999999</v>
      </c>
      <c r="AF167" s="1">
        <v>132233.8731</v>
      </c>
      <c r="AG167" s="1">
        <v>2184.8243900000002</v>
      </c>
      <c r="AH167" s="1">
        <v>520.90028500000005</v>
      </c>
      <c r="AI167" s="1">
        <v>14.269129169999999</v>
      </c>
      <c r="AJ167" s="1">
        <v>127.6965524</v>
      </c>
      <c r="AK167" s="1">
        <v>920.63210089999995</v>
      </c>
      <c r="AL167" s="1">
        <v>2148.8008150000001</v>
      </c>
      <c r="AM167" s="1">
        <v>25.84309116</v>
      </c>
      <c r="AN167" s="1">
        <v>2.8950023800000002</v>
      </c>
      <c r="AO167" s="1">
        <v>159.25677899999999</v>
      </c>
      <c r="AP167" s="1">
        <v>1.56795759</v>
      </c>
      <c r="AQ167" s="1">
        <v>589.07584919999999</v>
      </c>
      <c r="AR167" s="1">
        <v>891.47277999999994</v>
      </c>
    </row>
    <row r="168" spans="1:44">
      <c r="A168" s="1">
        <v>2016</v>
      </c>
      <c r="B168" s="1" t="s">
        <v>62</v>
      </c>
      <c r="C168" s="1" t="s">
        <v>54</v>
      </c>
      <c r="D168" s="1">
        <v>153925</v>
      </c>
      <c r="E168" s="1">
        <v>45627.859850000001</v>
      </c>
      <c r="F168" s="1">
        <v>6687.8882210000002</v>
      </c>
      <c r="G168" s="1">
        <v>11408.175579999999</v>
      </c>
      <c r="H168" s="1">
        <v>3372.452213</v>
      </c>
      <c r="I168" s="1">
        <v>2740.0241839999999</v>
      </c>
      <c r="J168" s="1">
        <v>1.51635655</v>
      </c>
      <c r="K168" s="1">
        <v>630.91167310000003</v>
      </c>
      <c r="L168" s="1">
        <v>194.71954700000001</v>
      </c>
      <c r="M168" s="1">
        <v>200.30878079999999</v>
      </c>
      <c r="N168" s="1">
        <v>1962.282046</v>
      </c>
      <c r="O168" s="1">
        <v>499.28381359999997</v>
      </c>
      <c r="P168" s="1">
        <v>35.390510919999997</v>
      </c>
      <c r="Q168" s="1">
        <v>33.023574459999999</v>
      </c>
      <c r="R168" s="1">
        <v>2.3609362100000002</v>
      </c>
      <c r="S168" s="1">
        <v>6.0002500000000004E-3</v>
      </c>
      <c r="T168" s="1">
        <v>368.62898869999998</v>
      </c>
      <c r="U168" s="1">
        <v>38994.793949999999</v>
      </c>
      <c r="V168" s="1">
        <v>9118.2821760000006</v>
      </c>
      <c r="W168" s="1">
        <v>8.8438345500000004</v>
      </c>
      <c r="X168" s="1">
        <v>9109.4383419999995</v>
      </c>
      <c r="Y168" s="1">
        <v>45.4255499</v>
      </c>
      <c r="Z168" s="1">
        <v>9112.8796349999993</v>
      </c>
      <c r="AA168" s="1">
        <v>8630.9794590000001</v>
      </c>
      <c r="AB168" s="1">
        <v>814.66089680000005</v>
      </c>
      <c r="AC168" s="1">
        <v>382.99386989999999</v>
      </c>
      <c r="AD168" s="1">
        <v>9494.5405119999996</v>
      </c>
      <c r="AE168" s="1">
        <v>1840.2802429999999</v>
      </c>
      <c r="AF168" s="1">
        <v>144870.14869999999</v>
      </c>
      <c r="AG168" s="1">
        <v>4125.3119999999999</v>
      </c>
      <c r="AH168" s="1">
        <v>546.66072150000002</v>
      </c>
      <c r="AI168" s="1">
        <v>11.5433015</v>
      </c>
      <c r="AJ168" s="1">
        <v>124.3258276</v>
      </c>
      <c r="AK168" s="1">
        <v>864.29152209999995</v>
      </c>
      <c r="AL168" s="1">
        <v>2109.8053960000002</v>
      </c>
      <c r="AM168" s="1">
        <v>33.175587589999999</v>
      </c>
      <c r="AN168" s="1">
        <v>2.3609362100000002</v>
      </c>
      <c r="AO168" s="1">
        <v>172.15051389999999</v>
      </c>
      <c r="AP168" s="1">
        <v>2.0524430800000002</v>
      </c>
      <c r="AQ168" s="1">
        <v>613.69221579999999</v>
      </c>
      <c r="AR168" s="1">
        <v>1219.362241</v>
      </c>
    </row>
    <row r="169" spans="1:44">
      <c r="A169" s="1">
        <v>2016</v>
      </c>
      <c r="B169" s="1" t="s">
        <v>62</v>
      </c>
      <c r="C169" s="1" t="s">
        <v>55</v>
      </c>
      <c r="D169" s="1">
        <v>41848</v>
      </c>
      <c r="E169" s="1">
        <v>17136.98128</v>
      </c>
      <c r="F169" s="1">
        <v>2795.2960480000002</v>
      </c>
      <c r="G169" s="1">
        <v>5748.2650970000004</v>
      </c>
      <c r="H169" s="1">
        <v>1180.8817140000001</v>
      </c>
      <c r="I169" s="1">
        <v>931.39289510000003</v>
      </c>
      <c r="J169" s="1">
        <v>0.97932315999999997</v>
      </c>
      <c r="K169" s="1">
        <v>248.5094962</v>
      </c>
      <c r="L169" s="1">
        <v>54.196955760000002</v>
      </c>
      <c r="M169" s="1">
        <v>57.239500290000002</v>
      </c>
      <c r="N169" s="1">
        <v>584.31331869999997</v>
      </c>
      <c r="O169" s="1">
        <v>283.82135899999997</v>
      </c>
      <c r="P169" s="1">
        <v>10.373964150000001</v>
      </c>
      <c r="Q169" s="1">
        <v>9.7724555899999999</v>
      </c>
      <c r="R169" s="1">
        <v>0.60150855999999997</v>
      </c>
      <c r="S169" s="1">
        <v>0</v>
      </c>
      <c r="T169" s="1">
        <v>85.631431739999996</v>
      </c>
      <c r="U169" s="1">
        <v>14880.52304</v>
      </c>
      <c r="V169" s="1">
        <v>3655.7779430000001</v>
      </c>
      <c r="W169" s="1">
        <v>4.4919768099999997</v>
      </c>
      <c r="X169" s="1">
        <v>3651.2859659999999</v>
      </c>
      <c r="Y169" s="1">
        <v>17.360686909999998</v>
      </c>
      <c r="Z169" s="1">
        <v>3653.6813139999999</v>
      </c>
      <c r="AA169" s="1">
        <v>3336.1782269999999</v>
      </c>
      <c r="AB169" s="1">
        <v>371.03134999999997</v>
      </c>
      <c r="AC169" s="1">
        <v>83.306998530000001</v>
      </c>
      <c r="AD169" s="1">
        <v>4455.2103299999999</v>
      </c>
      <c r="AE169" s="1">
        <v>911.82407909999995</v>
      </c>
      <c r="AF169" s="1">
        <v>65636.381789999999</v>
      </c>
      <c r="AG169" s="1">
        <v>1143.4648890000001</v>
      </c>
      <c r="AH169" s="1">
        <v>212.98859959999999</v>
      </c>
      <c r="AI169" s="1">
        <v>2.7262547000000001</v>
      </c>
      <c r="AJ169" s="1">
        <v>47.30397851</v>
      </c>
      <c r="AK169" s="1">
        <v>283.7346483</v>
      </c>
      <c r="AL169" s="1">
        <v>637.20653359999994</v>
      </c>
      <c r="AM169" s="1">
        <v>9.8429231700000006</v>
      </c>
      <c r="AN169" s="1">
        <v>0.61134056000000003</v>
      </c>
      <c r="AO169" s="1">
        <v>70.903423700000005</v>
      </c>
      <c r="AP169" s="1">
        <v>0.52447991999999999</v>
      </c>
      <c r="AQ169" s="1">
        <v>245.70474479999999</v>
      </c>
      <c r="AR169" s="1">
        <v>538.50853189999998</v>
      </c>
    </row>
    <row r="170" spans="1:44">
      <c r="A170" s="1">
        <v>2016</v>
      </c>
      <c r="B170" s="1" t="s">
        <v>62</v>
      </c>
      <c r="C170" s="1" t="s">
        <v>56</v>
      </c>
      <c r="D170" s="1">
        <v>14528</v>
      </c>
      <c r="E170" s="1">
        <v>8189.5003409999999</v>
      </c>
      <c r="F170" s="1">
        <v>1807.737392</v>
      </c>
      <c r="G170" s="1">
        <v>3578.2364400000001</v>
      </c>
      <c r="H170" s="1">
        <v>393.4789791</v>
      </c>
      <c r="I170" s="1">
        <v>241.25900569999999</v>
      </c>
      <c r="J170" s="1">
        <v>0.89238938999999995</v>
      </c>
      <c r="K170" s="1">
        <v>151.327584</v>
      </c>
      <c r="L170" s="1">
        <v>17.422562639999999</v>
      </c>
      <c r="M170" s="1">
        <v>18.71666609</v>
      </c>
      <c r="N170" s="1">
        <v>217.29710990000001</v>
      </c>
      <c r="O170" s="1">
        <v>261.42547839999997</v>
      </c>
      <c r="P170" s="1">
        <v>3.00237636</v>
      </c>
      <c r="Q170" s="1">
        <v>2.67862293</v>
      </c>
      <c r="R170" s="1">
        <v>0.26351337000000002</v>
      </c>
      <c r="S170" s="1">
        <v>6.0240059999999998E-2</v>
      </c>
      <c r="T170" s="1">
        <v>44.600053080000002</v>
      </c>
      <c r="U170" s="1">
        <v>7233.5571149999996</v>
      </c>
      <c r="V170" s="1">
        <v>1837.8925549999999</v>
      </c>
      <c r="W170" s="1">
        <v>2.9176929299999999</v>
      </c>
      <c r="X170" s="1">
        <v>1834.974862</v>
      </c>
      <c r="Y170" s="1">
        <v>6.4311454799999996</v>
      </c>
      <c r="Z170" s="1">
        <v>1836.105609</v>
      </c>
      <c r="AA170" s="1">
        <v>1560.698609</v>
      </c>
      <c r="AB170" s="1">
        <v>274.9815893</v>
      </c>
      <c r="AC170" s="1">
        <v>27.943952190000001</v>
      </c>
      <c r="AD170" s="1">
        <v>2082.017214</v>
      </c>
      <c r="AE170" s="1">
        <v>718.45134610000002</v>
      </c>
      <c r="AF170" s="1">
        <v>42300.195359999998</v>
      </c>
      <c r="AG170" s="1">
        <v>904.04691190000005</v>
      </c>
      <c r="AH170" s="1">
        <v>127.4223006</v>
      </c>
      <c r="AI170" s="1">
        <v>0.13611819999999999</v>
      </c>
      <c r="AJ170" s="1">
        <v>33.284859939999997</v>
      </c>
      <c r="AK170" s="1">
        <v>112.500569</v>
      </c>
      <c r="AL170" s="1">
        <v>247.23587029999999</v>
      </c>
      <c r="AM170" s="1">
        <v>2.67862293</v>
      </c>
      <c r="AN170" s="1">
        <v>0.26351337000000002</v>
      </c>
      <c r="AO170" s="1">
        <v>54.845593239999999</v>
      </c>
      <c r="AP170" s="1">
        <v>0.89430520999999996</v>
      </c>
      <c r="AQ170" s="1">
        <v>423.21993190000001</v>
      </c>
      <c r="AR170" s="1">
        <v>344.84137179999999</v>
      </c>
    </row>
    <row r="171" spans="1:44">
      <c r="A171" s="1">
        <v>2016</v>
      </c>
      <c r="B171" s="1" t="s">
        <v>62</v>
      </c>
      <c r="C171" s="1" t="s">
        <v>57</v>
      </c>
      <c r="D171" s="1">
        <v>3132</v>
      </c>
      <c r="E171" s="1">
        <v>2561.9063190000002</v>
      </c>
      <c r="F171" s="1">
        <v>591.98174740000002</v>
      </c>
      <c r="G171" s="1">
        <v>1863.028605</v>
      </c>
      <c r="H171" s="1">
        <v>80.975439589999993</v>
      </c>
      <c r="I171" s="1">
        <v>36.542623140000003</v>
      </c>
      <c r="J171" s="1">
        <v>0.13892879</v>
      </c>
      <c r="K171" s="1">
        <v>44.293887660000003</v>
      </c>
      <c r="L171" s="1">
        <v>3.5605001999999999</v>
      </c>
      <c r="M171" s="1">
        <v>3.89062654</v>
      </c>
      <c r="N171" s="1">
        <v>48.800031050000001</v>
      </c>
      <c r="O171" s="1">
        <v>157.72733349999999</v>
      </c>
      <c r="P171" s="1">
        <v>0.58849788000000003</v>
      </c>
      <c r="Q171" s="1">
        <v>0.57265787999999995</v>
      </c>
      <c r="R171" s="1">
        <v>1.584E-2</v>
      </c>
      <c r="S171" s="1">
        <v>0</v>
      </c>
      <c r="T171" s="1">
        <v>13.18566558</v>
      </c>
      <c r="U171" s="1">
        <v>2253.1782250000001</v>
      </c>
      <c r="V171" s="1">
        <v>587.02038849999997</v>
      </c>
      <c r="W171" s="1">
        <v>1.0410063899999999</v>
      </c>
      <c r="X171" s="1">
        <v>585.97938209999995</v>
      </c>
      <c r="Y171" s="1">
        <v>0.87139390000000005</v>
      </c>
      <c r="Z171" s="1">
        <v>585.75952770000004</v>
      </c>
      <c r="AA171" s="1">
        <v>473.29730919999997</v>
      </c>
      <c r="AB171" s="1">
        <v>106.5726611</v>
      </c>
      <c r="AC171" s="1">
        <v>8.2880890100000002</v>
      </c>
      <c r="AD171" s="1">
        <v>981.45718150000005</v>
      </c>
      <c r="AE171" s="1">
        <v>569.51347269999997</v>
      </c>
      <c r="AF171" s="1">
        <v>17776.431509999999</v>
      </c>
      <c r="AG171" s="1">
        <v>402.52250049999998</v>
      </c>
      <c r="AH171" s="1">
        <v>36.794976499999997</v>
      </c>
      <c r="AI171" s="1">
        <v>2.6296859999999998E-2</v>
      </c>
      <c r="AJ171" s="1">
        <v>9.0462364799999992</v>
      </c>
      <c r="AK171" s="1">
        <v>27.63212206</v>
      </c>
      <c r="AL171" s="1">
        <v>56.505340879999999</v>
      </c>
      <c r="AM171" s="1">
        <v>0.57265787999999995</v>
      </c>
      <c r="AN171" s="1">
        <v>1.584E-2</v>
      </c>
      <c r="AO171" s="1">
        <v>21.34825558</v>
      </c>
      <c r="AP171" s="1">
        <v>0.31131861999999999</v>
      </c>
      <c r="AQ171" s="1">
        <v>52.507913870000003</v>
      </c>
      <c r="AR171" s="1">
        <v>238.24322620000001</v>
      </c>
    </row>
    <row r="172" spans="1:44">
      <c r="A172" s="1">
        <v>2016</v>
      </c>
      <c r="B172" s="1" t="s">
        <v>62</v>
      </c>
      <c r="C172" s="1" t="s">
        <v>58</v>
      </c>
      <c r="D172" s="1">
        <v>2439</v>
      </c>
      <c r="E172" s="1">
        <v>3254.5574259999999</v>
      </c>
      <c r="F172" s="1">
        <v>769.46992869999997</v>
      </c>
      <c r="G172" s="1">
        <v>4204.2405310000004</v>
      </c>
      <c r="H172" s="1">
        <v>65.665222560000004</v>
      </c>
      <c r="I172" s="1">
        <v>15.73487763</v>
      </c>
      <c r="J172" s="1">
        <v>2.6732209999999999E-2</v>
      </c>
      <c r="K172" s="1">
        <v>49.903612719999998</v>
      </c>
      <c r="L172" s="1">
        <v>2.6845943999999999</v>
      </c>
      <c r="M172" s="1">
        <v>2.87133365</v>
      </c>
      <c r="N172" s="1">
        <v>43.94919264</v>
      </c>
      <c r="O172" s="1">
        <v>412.88275240000002</v>
      </c>
      <c r="P172" s="1">
        <v>0.49495405999999997</v>
      </c>
      <c r="Q172" s="1">
        <v>0.46293707000000001</v>
      </c>
      <c r="R172" s="1">
        <v>3.2016990000000002E-2</v>
      </c>
      <c r="S172" s="1">
        <v>0</v>
      </c>
      <c r="T172" s="1">
        <v>11.54374026</v>
      </c>
      <c r="U172" s="1">
        <v>2714.4656359999999</v>
      </c>
      <c r="V172" s="1">
        <v>721.13706339999999</v>
      </c>
      <c r="W172" s="1">
        <v>1.8282233000000001</v>
      </c>
      <c r="X172" s="1">
        <v>719.3088401</v>
      </c>
      <c r="Y172" s="1">
        <v>0.23795050000000001</v>
      </c>
      <c r="Z172" s="1">
        <v>718.66410159999998</v>
      </c>
      <c r="AA172" s="1">
        <v>550.18117259999997</v>
      </c>
      <c r="AB172" s="1">
        <v>152.6303757</v>
      </c>
      <c r="AC172" s="1">
        <v>10.26801583</v>
      </c>
      <c r="AD172" s="1">
        <v>1397.654031</v>
      </c>
      <c r="AE172" s="1">
        <v>406.0453698</v>
      </c>
      <c r="AF172" s="1">
        <v>25423.840189999999</v>
      </c>
      <c r="AG172" s="1">
        <v>379.5289186</v>
      </c>
      <c r="AH172" s="1">
        <v>44.56815065</v>
      </c>
      <c r="AI172" s="1">
        <v>0</v>
      </c>
      <c r="AJ172" s="1">
        <v>8.20864802</v>
      </c>
      <c r="AK172" s="1">
        <v>25.53205488</v>
      </c>
      <c r="AL172" s="1">
        <v>51.360992119999999</v>
      </c>
      <c r="AM172" s="1">
        <v>0.46293707000000001</v>
      </c>
      <c r="AN172" s="1">
        <v>3.2016990000000002E-2</v>
      </c>
      <c r="AO172" s="1">
        <v>29.977432839999999</v>
      </c>
      <c r="AP172" s="1">
        <v>1.1915121399999999</v>
      </c>
      <c r="AQ172" s="1">
        <v>103.6907178</v>
      </c>
      <c r="AR172" s="1">
        <v>682.21578520000003</v>
      </c>
    </row>
    <row r="173" spans="1:44">
      <c r="A173" s="1">
        <v>2016</v>
      </c>
      <c r="B173" s="1" t="s">
        <v>62</v>
      </c>
      <c r="C173" s="1" t="s">
        <v>59</v>
      </c>
      <c r="D173" s="1">
        <v>438</v>
      </c>
      <c r="E173" s="1">
        <v>1105.836822</v>
      </c>
      <c r="F173" s="1">
        <v>327.92726759999999</v>
      </c>
      <c r="G173" s="1">
        <v>938.13639209999997</v>
      </c>
      <c r="H173" s="1">
        <v>17.168278369999999</v>
      </c>
      <c r="I173" s="1">
        <v>2.31953751</v>
      </c>
      <c r="J173" s="1">
        <v>0</v>
      </c>
      <c r="K173" s="1">
        <v>14.848740859999999</v>
      </c>
      <c r="L173" s="1">
        <v>0.40496423999999998</v>
      </c>
      <c r="M173" s="1">
        <v>0.43684051000000002</v>
      </c>
      <c r="N173" s="1">
        <v>9.0647487400000006</v>
      </c>
      <c r="O173" s="1">
        <v>188.4953209</v>
      </c>
      <c r="P173" s="1">
        <v>3.5999999999999997E-2</v>
      </c>
      <c r="Q173" s="1">
        <v>3.5999999999999997E-2</v>
      </c>
      <c r="R173" s="1">
        <v>0</v>
      </c>
      <c r="S173" s="1">
        <v>0</v>
      </c>
      <c r="T173" s="1">
        <v>2.1445555199999999</v>
      </c>
      <c r="U173" s="1">
        <v>888.08611399999995</v>
      </c>
      <c r="V173" s="1">
        <v>239.66301659999999</v>
      </c>
      <c r="W173" s="1">
        <v>0.69608133000000005</v>
      </c>
      <c r="X173" s="1">
        <v>238.96693529999999</v>
      </c>
      <c r="Y173" s="1">
        <v>7.4082000000000002E-3</v>
      </c>
      <c r="Z173" s="1">
        <v>238.81306549999999</v>
      </c>
      <c r="AA173" s="1">
        <v>177.944061</v>
      </c>
      <c r="AB173" s="1">
        <v>58.687168720000003</v>
      </c>
      <c r="AC173" s="1">
        <v>3.06439854</v>
      </c>
      <c r="AD173" s="1">
        <v>1525.2551599999999</v>
      </c>
      <c r="AE173" s="1">
        <v>173.63161729999999</v>
      </c>
      <c r="AF173" s="1">
        <v>19403.474030000001</v>
      </c>
      <c r="AG173" s="1">
        <v>130.7269652</v>
      </c>
      <c r="AH173" s="1">
        <v>14.01305898</v>
      </c>
      <c r="AI173" s="1">
        <v>0</v>
      </c>
      <c r="AJ173" s="1">
        <v>2.2959894599999999</v>
      </c>
      <c r="AK173" s="1">
        <v>4.1739478300000004</v>
      </c>
      <c r="AL173" s="1">
        <v>10.32721607</v>
      </c>
      <c r="AM173" s="1">
        <v>3.5999999999999997E-2</v>
      </c>
      <c r="AN173" s="1">
        <v>0</v>
      </c>
      <c r="AO173" s="1">
        <v>5.2996270299999999</v>
      </c>
      <c r="AP173" s="1">
        <v>0.09</v>
      </c>
      <c r="AQ173" s="1">
        <v>14.59927287</v>
      </c>
      <c r="AR173" s="1">
        <v>99.578497650000003</v>
      </c>
    </row>
    <row r="174" spans="1:44">
      <c r="A174" s="1">
        <v>2016</v>
      </c>
      <c r="B174" s="1" t="s">
        <v>62</v>
      </c>
      <c r="C174" s="1" t="s">
        <v>60</v>
      </c>
      <c r="D174" s="1">
        <v>152</v>
      </c>
      <c r="E174" s="1">
        <v>550.13459760000001</v>
      </c>
      <c r="F174" s="1">
        <v>83.417714140000001</v>
      </c>
      <c r="G174" s="1">
        <v>204.0201395</v>
      </c>
      <c r="H174" s="1">
        <v>7.3899494499999996</v>
      </c>
      <c r="I174" s="1">
        <v>1.0117781400000001</v>
      </c>
      <c r="J174" s="1">
        <v>0</v>
      </c>
      <c r="K174" s="1">
        <v>6.3781713099999999</v>
      </c>
      <c r="L174" s="1">
        <v>0.1592556</v>
      </c>
      <c r="M174" s="1">
        <v>0.17807500000000001</v>
      </c>
      <c r="N174" s="1">
        <v>3.8572346400000002</v>
      </c>
      <c r="O174" s="1">
        <v>98.543582929999999</v>
      </c>
      <c r="P174" s="1">
        <v>0</v>
      </c>
      <c r="Q174" s="1">
        <v>0</v>
      </c>
      <c r="R174" s="1">
        <v>0</v>
      </c>
      <c r="S174" s="1">
        <v>0</v>
      </c>
      <c r="T174" s="1">
        <v>0.56964756000000005</v>
      </c>
      <c r="U174" s="1">
        <v>439.43685240000002</v>
      </c>
      <c r="V174" s="1">
        <v>119.2646372</v>
      </c>
      <c r="W174" s="1">
        <v>0.40827967999999998</v>
      </c>
      <c r="X174" s="1">
        <v>118.8563575</v>
      </c>
      <c r="Y174" s="1">
        <v>6.1553199999999997E-3</v>
      </c>
      <c r="Z174" s="1">
        <v>118.8080503</v>
      </c>
      <c r="AA174" s="1">
        <v>89.425480730000004</v>
      </c>
      <c r="AB174" s="1">
        <v>25.335398189999999</v>
      </c>
      <c r="AC174" s="1">
        <v>1.65611368</v>
      </c>
      <c r="AD174" s="1">
        <v>106.473598</v>
      </c>
      <c r="AE174" s="1">
        <v>13.227920129999999</v>
      </c>
      <c r="AF174" s="1">
        <v>2789.8124320000002</v>
      </c>
      <c r="AG174" s="1">
        <v>59.059786000000003</v>
      </c>
      <c r="AH174" s="1">
        <v>5.21045493</v>
      </c>
      <c r="AI174" s="1">
        <v>0</v>
      </c>
      <c r="AJ174" s="1">
        <v>1.3269013199999999</v>
      </c>
      <c r="AK174" s="1">
        <v>2.1122001699999999</v>
      </c>
      <c r="AL174" s="1">
        <v>4.3068628100000002</v>
      </c>
      <c r="AM174" s="1">
        <v>0</v>
      </c>
      <c r="AN174" s="1">
        <v>0</v>
      </c>
      <c r="AO174" s="1">
        <v>2.8796315099999998</v>
      </c>
      <c r="AP174" s="1">
        <v>0</v>
      </c>
      <c r="AQ174" s="1">
        <v>9.7998373999999995</v>
      </c>
      <c r="AR174" s="1">
        <v>48.530984660000001</v>
      </c>
    </row>
    <row r="175" spans="1:44">
      <c r="A175" s="1">
        <v>2016</v>
      </c>
      <c r="B175" s="1" t="s">
        <v>62</v>
      </c>
      <c r="C175" s="1" t="s">
        <v>61</v>
      </c>
      <c r="D175" s="1">
        <v>227</v>
      </c>
      <c r="E175" s="1">
        <v>1927.4675179999999</v>
      </c>
      <c r="F175" s="1">
        <v>721.06383129999995</v>
      </c>
      <c r="G175" s="1">
        <v>1971.507032</v>
      </c>
      <c r="H175" s="1">
        <v>28.0585421</v>
      </c>
      <c r="I175" s="1">
        <v>5.4743488200000003</v>
      </c>
      <c r="J175" s="1">
        <v>0</v>
      </c>
      <c r="K175" s="1">
        <v>22.584193280000001</v>
      </c>
      <c r="L175" s="1">
        <v>0.29348531999999999</v>
      </c>
      <c r="M175" s="1">
        <v>0.30572749999999999</v>
      </c>
      <c r="N175" s="1">
        <v>5.9056354400000002</v>
      </c>
      <c r="O175" s="1">
        <v>379.73123559999999</v>
      </c>
      <c r="P175" s="1">
        <v>0.17380482</v>
      </c>
      <c r="Q175" s="1">
        <v>0</v>
      </c>
      <c r="R175" s="1">
        <v>0.17380482</v>
      </c>
      <c r="S175" s="1">
        <v>0</v>
      </c>
      <c r="T175" s="1">
        <v>0.85447134000000002</v>
      </c>
      <c r="U175" s="1">
        <v>1512.144616</v>
      </c>
      <c r="V175" s="1">
        <v>413.4811947</v>
      </c>
      <c r="W175" s="1">
        <v>3.7946471900000001</v>
      </c>
      <c r="X175" s="1">
        <v>409.68654750000002</v>
      </c>
      <c r="Y175" s="1">
        <v>1.4131199999999999E-3</v>
      </c>
      <c r="Z175" s="1">
        <v>409.61184539999999</v>
      </c>
      <c r="AA175" s="1">
        <v>283.58213000000001</v>
      </c>
      <c r="AB175" s="1">
        <v>106.38961310000001</v>
      </c>
      <c r="AC175" s="1">
        <v>4.17622859</v>
      </c>
      <c r="AD175" s="1">
        <v>290.6365414</v>
      </c>
      <c r="AE175" s="1">
        <v>966.87273649999997</v>
      </c>
      <c r="AF175" s="1">
        <v>8896.7137760000005</v>
      </c>
      <c r="AG175" s="1">
        <v>181.56753810000001</v>
      </c>
      <c r="AH175" s="1">
        <v>21.70181899</v>
      </c>
      <c r="AI175" s="1">
        <v>0</v>
      </c>
      <c r="AJ175" s="1">
        <v>1.07056062</v>
      </c>
      <c r="AK175" s="1">
        <v>2.98653674</v>
      </c>
      <c r="AL175" s="1">
        <v>6.8967185899999999</v>
      </c>
      <c r="AM175" s="1">
        <v>0</v>
      </c>
      <c r="AN175" s="1">
        <v>0.17380482</v>
      </c>
      <c r="AO175" s="1">
        <v>8.8512808399999994</v>
      </c>
      <c r="AP175" s="1">
        <v>0</v>
      </c>
      <c r="AQ175" s="1">
        <v>18.978816699999999</v>
      </c>
      <c r="AR175" s="1">
        <v>406.16552780000001</v>
      </c>
    </row>
    <row r="176" spans="1:44">
      <c r="A176" s="1">
        <v>2016</v>
      </c>
      <c r="B176" s="1" t="s">
        <v>63</v>
      </c>
      <c r="C176" s="1" t="s">
        <v>64</v>
      </c>
      <c r="D176" s="1">
        <v>2831</v>
      </c>
      <c r="E176" s="1">
        <v>148.59067429999999</v>
      </c>
      <c r="F176" s="1">
        <v>15.46137882</v>
      </c>
      <c r="G176" s="1">
        <v>42.166639050000001</v>
      </c>
      <c r="H176" s="1">
        <v>6.7154186400000002</v>
      </c>
      <c r="I176" s="1">
        <v>5.7874389800000001</v>
      </c>
      <c r="J176" s="1">
        <v>6.9443999999999999E-3</v>
      </c>
      <c r="K176" s="1">
        <v>0.92103526000000002</v>
      </c>
      <c r="L176" s="1">
        <v>3.9909233099999999</v>
      </c>
      <c r="M176" s="1">
        <v>2.6118005100000001</v>
      </c>
      <c r="N176" s="1">
        <v>6.0787322799999997</v>
      </c>
      <c r="O176" s="1">
        <v>0.96915658999999998</v>
      </c>
      <c r="P176" s="1">
        <v>1.7604831700000001</v>
      </c>
      <c r="Q176" s="1">
        <v>1.5696345</v>
      </c>
      <c r="R176" s="1">
        <v>0.19084867</v>
      </c>
      <c r="S176" s="1">
        <v>0</v>
      </c>
      <c r="T176" s="1">
        <v>12.69281904</v>
      </c>
      <c r="U176" s="1">
        <v>113.7713408</v>
      </c>
      <c r="V176" s="1">
        <v>11.63748794</v>
      </c>
      <c r="W176" s="1">
        <v>9.7000000000000005E-4</v>
      </c>
      <c r="X176" s="1">
        <v>11.636517939999999</v>
      </c>
      <c r="Y176" s="1">
        <v>6.8359199999999997E-3</v>
      </c>
      <c r="Z176" s="1">
        <v>11.61874755</v>
      </c>
      <c r="AA176" s="1">
        <v>12.489894189999999</v>
      </c>
      <c r="AB176" s="1">
        <v>1.3684141299999999</v>
      </c>
      <c r="AC176" s="1">
        <v>2.3215774100000002</v>
      </c>
      <c r="AD176" s="1">
        <v>25.941030250000001</v>
      </c>
      <c r="AE176" s="1">
        <v>1.33245963</v>
      </c>
      <c r="AF176" s="1">
        <v>383.52385170000002</v>
      </c>
      <c r="AG176" s="1">
        <v>3.5299070800000001</v>
      </c>
      <c r="AH176" s="1">
        <v>0.98457280999999996</v>
      </c>
      <c r="AI176" s="1">
        <v>2.8412899999999998E-3</v>
      </c>
      <c r="AJ176" s="1">
        <v>0.28741371999999998</v>
      </c>
      <c r="AK176" s="1">
        <v>4.7241692000000004</v>
      </c>
      <c r="AL176" s="1">
        <v>7.5264484999999999</v>
      </c>
      <c r="AM176" s="1">
        <v>1.6295367599999999</v>
      </c>
      <c r="AN176" s="1">
        <v>0.20525637999999999</v>
      </c>
      <c r="AO176" s="1">
        <v>0.28625612</v>
      </c>
      <c r="AP176" s="1">
        <v>8.0000000000000002E-3</v>
      </c>
      <c r="AQ176" s="1">
        <v>0.82437970000000005</v>
      </c>
      <c r="AR176" s="1">
        <v>2.84237684</v>
      </c>
    </row>
    <row r="177" spans="1:44">
      <c r="A177" s="1">
        <v>2015</v>
      </c>
      <c r="B177" s="1" t="s">
        <v>44</v>
      </c>
      <c r="C177" s="1" t="s">
        <v>65</v>
      </c>
      <c r="D177" s="1">
        <v>1495807.28</v>
      </c>
      <c r="E177" s="1">
        <v>3219.169997</v>
      </c>
      <c r="F177" s="1">
        <v>15740.31961</v>
      </c>
      <c r="G177" s="1">
        <v>90208.664579999997</v>
      </c>
      <c r="H177" s="1">
        <v>2179.9244659999999</v>
      </c>
      <c r="I177" s="1"/>
      <c r="J177" s="1"/>
      <c r="K177" s="1"/>
      <c r="L177" s="1">
        <v>1163.3905689999999</v>
      </c>
      <c r="M177" s="1">
        <v>220.15409869999999</v>
      </c>
      <c r="N177" s="1">
        <v>2547.1025850000001</v>
      </c>
      <c r="O177" s="1">
        <v>145.3915073</v>
      </c>
      <c r="P177" s="1">
        <v>1176.0819779999999</v>
      </c>
      <c r="Q177" s="1"/>
      <c r="R177" s="1"/>
      <c r="S177" s="1"/>
      <c r="T177" s="1">
        <v>97.381325860000004</v>
      </c>
      <c r="U177" s="1">
        <v>689.75936860000002</v>
      </c>
      <c r="V177" s="1">
        <v>1.8989526999999999E-2</v>
      </c>
      <c r="W177" s="1"/>
      <c r="X177" s="1"/>
      <c r="Y177" s="1"/>
      <c r="Z177" s="1"/>
      <c r="AA177" s="1">
        <v>245.5875729</v>
      </c>
      <c r="AB177" s="1">
        <v>8.2443966490000005</v>
      </c>
      <c r="AC177" s="1">
        <v>207.94185179999999</v>
      </c>
      <c r="AD177" s="1">
        <v>93178.687999999995</v>
      </c>
      <c r="AE177" s="1">
        <v>9259.2463879999996</v>
      </c>
      <c r="AF177" s="1">
        <v>586396.06229999999</v>
      </c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>
      <c r="A178" s="1">
        <v>2015</v>
      </c>
      <c r="B178" s="1" t="s">
        <v>44</v>
      </c>
      <c r="C178" s="1" t="s">
        <v>66</v>
      </c>
      <c r="D178" s="1">
        <v>795206.12250000006</v>
      </c>
      <c r="E178" s="1">
        <v>8198.6075830000009</v>
      </c>
      <c r="F178" s="1">
        <v>3264.7241199999999</v>
      </c>
      <c r="G178" s="1">
        <v>37141.16315</v>
      </c>
      <c r="H178" s="1">
        <v>238.07225149999999</v>
      </c>
      <c r="I178" s="1"/>
      <c r="J178" s="1"/>
      <c r="K178" s="1"/>
      <c r="L178" s="1">
        <v>567.03627340000003</v>
      </c>
      <c r="M178" s="1">
        <v>74.958240489999994</v>
      </c>
      <c r="N178" s="1">
        <v>398.42861879999998</v>
      </c>
      <c r="O178" s="1">
        <v>60.296189249999998</v>
      </c>
      <c r="P178" s="1">
        <v>135.88683330000001</v>
      </c>
      <c r="Q178" s="1"/>
      <c r="R178" s="1"/>
      <c r="S178" s="1"/>
      <c r="T178" s="1">
        <v>1025.766642</v>
      </c>
      <c r="U178" s="1">
        <v>5959.4305080000004</v>
      </c>
      <c r="V178" s="1">
        <v>0.18111471300000001</v>
      </c>
      <c r="W178" s="1"/>
      <c r="X178" s="1"/>
      <c r="Y178" s="1"/>
      <c r="Z178" s="1"/>
      <c r="AA178" s="1">
        <v>65.003399639999998</v>
      </c>
      <c r="AB178" s="1">
        <v>0.94094513000000002</v>
      </c>
      <c r="AC178" s="1">
        <v>58.78620145</v>
      </c>
      <c r="AD178" s="1">
        <v>14641.43334</v>
      </c>
      <c r="AE178" s="1">
        <v>1944.997674</v>
      </c>
      <c r="AF178" s="1">
        <v>197644.80050000001</v>
      </c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>
      <c r="A179" s="1">
        <v>2015</v>
      </c>
      <c r="B179" s="1" t="s">
        <v>44</v>
      </c>
      <c r="C179" s="1" t="s">
        <v>67</v>
      </c>
      <c r="D179" s="1">
        <v>1709641.39</v>
      </c>
      <c r="E179" s="1">
        <v>35209.370869999999</v>
      </c>
      <c r="F179" s="1">
        <v>7986.4628780000003</v>
      </c>
      <c r="G179" s="1">
        <v>50356.282299999999</v>
      </c>
      <c r="H179" s="1">
        <v>1150.7638770000001</v>
      </c>
      <c r="I179" s="1"/>
      <c r="J179" s="1"/>
      <c r="K179" s="1"/>
      <c r="L179" s="1">
        <v>2318.9119460000002</v>
      </c>
      <c r="M179" s="1">
        <v>420.9914832</v>
      </c>
      <c r="N179" s="1">
        <v>1450.076219</v>
      </c>
      <c r="O179" s="1">
        <v>209.4800869</v>
      </c>
      <c r="P179" s="1">
        <v>652.76323639999998</v>
      </c>
      <c r="Q179" s="1"/>
      <c r="R179" s="1"/>
      <c r="S179" s="1"/>
      <c r="T179" s="1">
        <v>4034.4901989999998</v>
      </c>
      <c r="U179" s="1">
        <v>25602.237939999999</v>
      </c>
      <c r="V179" s="1">
        <v>0.98415588499999995</v>
      </c>
      <c r="W179" s="1"/>
      <c r="X179" s="1"/>
      <c r="Y179" s="1"/>
      <c r="Z179" s="1"/>
      <c r="AA179" s="1">
        <v>324.56735980000002</v>
      </c>
      <c r="AB179" s="1">
        <v>4.4035160910000002</v>
      </c>
      <c r="AC179" s="1">
        <v>309.41959359999998</v>
      </c>
      <c r="AD179" s="1">
        <v>30595.659009999999</v>
      </c>
      <c r="AE179" s="1">
        <v>3257.0284160000001</v>
      </c>
      <c r="AF179" s="1">
        <v>376923.2696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>
      <c r="A180" s="1">
        <v>2015</v>
      </c>
      <c r="B180" s="1" t="s">
        <v>44</v>
      </c>
      <c r="C180" s="1" t="s">
        <v>68</v>
      </c>
      <c r="D180" s="1">
        <v>4729635.3459999999</v>
      </c>
      <c r="E180" s="1">
        <v>149050.85029999999</v>
      </c>
      <c r="F180" s="1">
        <v>15779.557119999999</v>
      </c>
      <c r="G180" s="1">
        <v>60666.299469999998</v>
      </c>
      <c r="H180" s="1">
        <v>5996.6422979999998</v>
      </c>
      <c r="I180" s="1"/>
      <c r="J180" s="1"/>
      <c r="K180" s="1"/>
      <c r="L180" s="1">
        <v>8399.6201899999996</v>
      </c>
      <c r="M180" s="1">
        <v>2619.4041590000002</v>
      </c>
      <c r="N180" s="1">
        <v>4798.7746790000001</v>
      </c>
      <c r="O180" s="1">
        <v>891.96092080000005</v>
      </c>
      <c r="P180" s="1">
        <v>1827.551236</v>
      </c>
      <c r="Q180" s="1"/>
      <c r="R180" s="1"/>
      <c r="S180" s="1"/>
      <c r="T180" s="1">
        <v>16687.98371</v>
      </c>
      <c r="U180" s="1">
        <v>109315.1197</v>
      </c>
      <c r="V180" s="1">
        <v>446.31281469999999</v>
      </c>
      <c r="W180" s="1"/>
      <c r="X180" s="1"/>
      <c r="Y180" s="1"/>
      <c r="Z180" s="1"/>
      <c r="AA180" s="1">
        <v>1770.1937800000001</v>
      </c>
      <c r="AB180" s="1">
        <v>93.312702329999993</v>
      </c>
      <c r="AC180" s="1">
        <v>1401.667809</v>
      </c>
      <c r="AD180" s="1">
        <v>61906.711450000003</v>
      </c>
      <c r="AE180" s="1">
        <v>4224.925722</v>
      </c>
      <c r="AF180" s="1">
        <v>603397.13340000005</v>
      </c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>
      <c r="A181" s="1">
        <v>2015</v>
      </c>
      <c r="B181" s="1" t="s">
        <v>44</v>
      </c>
      <c r="C181" s="1" t="s">
        <v>69</v>
      </c>
      <c r="D181" s="1">
        <v>3431413.4870000002</v>
      </c>
      <c r="E181" s="1">
        <v>170060.14850000001</v>
      </c>
      <c r="F181" s="1">
        <v>21977.887739999998</v>
      </c>
      <c r="G181" s="1">
        <v>68840.775339999993</v>
      </c>
      <c r="H181" s="1">
        <v>8246.8515979999993</v>
      </c>
      <c r="I181" s="1"/>
      <c r="J181" s="1"/>
      <c r="K181" s="1"/>
      <c r="L181" s="1">
        <v>7805.9677339999998</v>
      </c>
      <c r="M181" s="1">
        <v>3600.5683669999999</v>
      </c>
      <c r="N181" s="1">
        <v>6826.1735710000003</v>
      </c>
      <c r="O181" s="1">
        <v>1014.847218</v>
      </c>
      <c r="P181" s="1">
        <v>2455.4555999999998</v>
      </c>
      <c r="Q181" s="1"/>
      <c r="R181" s="1"/>
      <c r="S181" s="1"/>
      <c r="T181" s="1">
        <v>17072.18764</v>
      </c>
      <c r="U181" s="1">
        <v>124379.1657</v>
      </c>
      <c r="V181" s="1">
        <v>4530.4333809999998</v>
      </c>
      <c r="W181" s="1"/>
      <c r="X181" s="1"/>
      <c r="Y181" s="1"/>
      <c r="Z181" s="1"/>
      <c r="AA181" s="1">
        <v>6624.4812480000001</v>
      </c>
      <c r="AB181" s="1">
        <v>824.29256510000005</v>
      </c>
      <c r="AC181" s="1">
        <v>2914.6160450000002</v>
      </c>
      <c r="AD181" s="1">
        <v>60610.170389999999</v>
      </c>
      <c r="AE181" s="1">
        <v>4288.0430059999999</v>
      </c>
      <c r="AF181" s="1">
        <v>648424.24029999995</v>
      </c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>
      <c r="A182" s="1">
        <v>2015</v>
      </c>
      <c r="B182" s="1" t="s">
        <v>44</v>
      </c>
      <c r="C182" s="1" t="s">
        <v>70</v>
      </c>
      <c r="D182" s="1">
        <v>1351007.179</v>
      </c>
      <c r="E182" s="1">
        <v>100891.0269</v>
      </c>
      <c r="F182" s="1">
        <v>13865.49901</v>
      </c>
      <c r="G182" s="1">
        <v>40128.634019999998</v>
      </c>
      <c r="H182" s="1">
        <v>4285.9058960000002</v>
      </c>
      <c r="I182" s="1"/>
      <c r="J182" s="1"/>
      <c r="K182" s="1"/>
      <c r="L182" s="1">
        <v>3357.927021</v>
      </c>
      <c r="M182" s="1">
        <v>1950.3949170000001</v>
      </c>
      <c r="N182" s="1">
        <v>4033.4215260000001</v>
      </c>
      <c r="O182" s="1">
        <v>728.75136970000005</v>
      </c>
      <c r="P182" s="1">
        <v>1564.6675929999999</v>
      </c>
      <c r="Q182" s="1"/>
      <c r="R182" s="1"/>
      <c r="S182" s="1"/>
      <c r="T182" s="1">
        <v>10755.306790000001</v>
      </c>
      <c r="U182" s="1">
        <v>75038.172139999995</v>
      </c>
      <c r="V182" s="1">
        <v>6867.0176780000002</v>
      </c>
      <c r="W182" s="1"/>
      <c r="X182" s="1"/>
      <c r="Y182" s="1"/>
      <c r="Z182" s="1"/>
      <c r="AA182" s="1">
        <v>7802.6804780000002</v>
      </c>
      <c r="AB182" s="1">
        <v>1126.3351479999999</v>
      </c>
      <c r="AC182" s="1">
        <v>2070.5536069999998</v>
      </c>
      <c r="AD182" s="1">
        <v>39385.117839999999</v>
      </c>
      <c r="AE182" s="1">
        <v>2787.3065240000001</v>
      </c>
      <c r="AF182" s="1">
        <v>399565.38540000003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>
      <c r="A183" s="1">
        <v>2015</v>
      </c>
      <c r="B183" s="1" t="s">
        <v>44</v>
      </c>
      <c r="C183" s="1" t="s">
        <v>71</v>
      </c>
      <c r="D183" s="1">
        <v>879023.80759999994</v>
      </c>
      <c r="E183" s="1">
        <v>90414.708419999995</v>
      </c>
      <c r="F183" s="1">
        <v>13348.455550000001</v>
      </c>
      <c r="G183" s="1">
        <v>33535.057150000001</v>
      </c>
      <c r="H183" s="1">
        <v>4283.7610180000001</v>
      </c>
      <c r="I183" s="1"/>
      <c r="J183" s="1"/>
      <c r="K183" s="1"/>
      <c r="L183" s="1">
        <v>2330.8123089999999</v>
      </c>
      <c r="M183" s="1">
        <v>1579.0108749999999</v>
      </c>
      <c r="N183" s="1">
        <v>3801.9869490000001</v>
      </c>
      <c r="O183" s="1">
        <v>645.84040879999998</v>
      </c>
      <c r="P183" s="1">
        <v>1540.8281730000001</v>
      </c>
      <c r="Q183" s="1"/>
      <c r="R183" s="1"/>
      <c r="S183" s="1"/>
      <c r="T183" s="1">
        <v>7444.0680560000001</v>
      </c>
      <c r="U183" s="1">
        <v>69293.257930000007</v>
      </c>
      <c r="V183" s="1">
        <v>10008.55049</v>
      </c>
      <c r="W183" s="1"/>
      <c r="X183" s="1"/>
      <c r="Y183" s="1"/>
      <c r="Z183" s="1"/>
      <c r="AA183" s="1">
        <v>10278.866330000001</v>
      </c>
      <c r="AB183" s="1">
        <v>1307.1958239999999</v>
      </c>
      <c r="AC183" s="1">
        <v>1588.0093999999999</v>
      </c>
      <c r="AD183" s="1">
        <v>32821.028550000003</v>
      </c>
      <c r="AE183" s="1">
        <v>2813.2881109999998</v>
      </c>
      <c r="AF183" s="1">
        <v>354775.38390000002</v>
      </c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>
      <c r="A184" s="1">
        <v>2015</v>
      </c>
      <c r="B184" s="1" t="s">
        <v>44</v>
      </c>
      <c r="C184" s="1" t="s">
        <v>72</v>
      </c>
      <c r="D184" s="1">
        <v>692049.26789999998</v>
      </c>
      <c r="E184" s="1">
        <v>99147.775380000006</v>
      </c>
      <c r="F184" s="1">
        <v>15610.56213</v>
      </c>
      <c r="G184" s="1">
        <v>34417.553599999999</v>
      </c>
      <c r="H184" s="1">
        <v>5839.9788289999997</v>
      </c>
      <c r="I184" s="1"/>
      <c r="J184" s="1"/>
      <c r="K184" s="1"/>
      <c r="L184" s="1">
        <v>1838.0822929999999</v>
      </c>
      <c r="M184" s="1">
        <v>1387.4103070000001</v>
      </c>
      <c r="N184" s="1">
        <v>4134.7820259999999</v>
      </c>
      <c r="O184" s="1">
        <v>701.26596640000002</v>
      </c>
      <c r="P184" s="1">
        <v>1657.553431</v>
      </c>
      <c r="Q184" s="1"/>
      <c r="R184" s="1"/>
      <c r="S184" s="1"/>
      <c r="T184" s="1">
        <v>4233.4592839999996</v>
      </c>
      <c r="U184" s="1">
        <v>79600.720310000004</v>
      </c>
      <c r="V184" s="1">
        <v>14771.453100000001</v>
      </c>
      <c r="W184" s="1"/>
      <c r="X184" s="1"/>
      <c r="Y184" s="1"/>
      <c r="Z184" s="1"/>
      <c r="AA184" s="1">
        <v>14480.71154</v>
      </c>
      <c r="AB184" s="1">
        <v>1516.295441</v>
      </c>
      <c r="AC184" s="1">
        <v>1237.952211</v>
      </c>
      <c r="AD184" s="1">
        <v>36143.950250000002</v>
      </c>
      <c r="AE184" s="1">
        <v>2668.1758530000002</v>
      </c>
      <c r="AF184" s="1">
        <v>397173.8725</v>
      </c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>
      <c r="A185" s="1">
        <v>2015</v>
      </c>
      <c r="B185" s="1" t="s">
        <v>44</v>
      </c>
      <c r="C185" s="1" t="s">
        <v>73</v>
      </c>
      <c r="D185" s="1">
        <v>325596.67060000001</v>
      </c>
      <c r="E185" s="1">
        <v>64341.007680000002</v>
      </c>
      <c r="F185" s="1">
        <v>11079.55402</v>
      </c>
      <c r="G185" s="1">
        <v>24087.034520000001</v>
      </c>
      <c r="H185" s="1">
        <v>4428.7334369999999</v>
      </c>
      <c r="I185" s="1"/>
      <c r="J185" s="1"/>
      <c r="K185" s="1"/>
      <c r="L185" s="1">
        <v>858.26908109999999</v>
      </c>
      <c r="M185" s="1">
        <v>682.35035140000002</v>
      </c>
      <c r="N185" s="1">
        <v>2550.6382319999998</v>
      </c>
      <c r="O185" s="1">
        <v>539.28226759999995</v>
      </c>
      <c r="P185" s="1">
        <v>1019.800036</v>
      </c>
      <c r="Q185" s="1"/>
      <c r="R185" s="1"/>
      <c r="S185" s="1"/>
      <c r="T185" s="1">
        <v>1271.9567179999999</v>
      </c>
      <c r="U185" s="1">
        <v>53065.365469999997</v>
      </c>
      <c r="V185" s="1">
        <v>11240.386860000001</v>
      </c>
      <c r="W185" s="1"/>
      <c r="X185" s="1"/>
      <c r="Y185" s="1"/>
      <c r="Z185" s="1"/>
      <c r="AA185" s="1">
        <v>10885.47298</v>
      </c>
      <c r="AB185" s="1">
        <v>998.64011740000001</v>
      </c>
      <c r="AC185" s="1">
        <v>647.83217000000002</v>
      </c>
      <c r="AD185" s="1">
        <v>23381.179209999998</v>
      </c>
      <c r="AE185" s="1">
        <v>2337.4600919999998</v>
      </c>
      <c r="AF185" s="1">
        <v>292684.98349999997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>
      <c r="A186" s="1">
        <v>2015</v>
      </c>
      <c r="B186" s="1" t="s">
        <v>44</v>
      </c>
      <c r="C186" s="1" t="s">
        <v>74</v>
      </c>
      <c r="D186" s="1">
        <v>287436.5674</v>
      </c>
      <c r="E186" s="1">
        <v>78225.315350000004</v>
      </c>
      <c r="F186" s="1">
        <v>15124.8631</v>
      </c>
      <c r="G186" s="1">
        <v>30290.862290000001</v>
      </c>
      <c r="H186" s="1">
        <v>5623.2251690000003</v>
      </c>
      <c r="I186" s="1"/>
      <c r="J186" s="1"/>
      <c r="K186" s="1"/>
      <c r="L186" s="1">
        <v>748.26173530000005</v>
      </c>
      <c r="M186" s="1">
        <v>610.24110340000004</v>
      </c>
      <c r="N186" s="1">
        <v>2912.8666589999998</v>
      </c>
      <c r="O186" s="1">
        <v>884.22900619999996</v>
      </c>
      <c r="P186" s="1">
        <v>1111.4276070000001</v>
      </c>
      <c r="Q186" s="1"/>
      <c r="R186" s="1"/>
      <c r="S186" s="1"/>
      <c r="T186" s="1">
        <v>786.31144800000004</v>
      </c>
      <c r="U186" s="1">
        <v>65599.969689999998</v>
      </c>
      <c r="V186" s="1">
        <v>15075.622520000001</v>
      </c>
      <c r="W186" s="1"/>
      <c r="X186" s="1"/>
      <c r="Y186" s="1"/>
      <c r="Z186" s="1"/>
      <c r="AA186" s="1">
        <v>14499.33697</v>
      </c>
      <c r="AB186" s="1">
        <v>1276.663303</v>
      </c>
      <c r="AC186" s="1">
        <v>699.0421705</v>
      </c>
      <c r="AD186" s="1">
        <v>33405.568189999998</v>
      </c>
      <c r="AE186" s="1">
        <v>2404.0090799999998</v>
      </c>
      <c r="AF186" s="1">
        <v>378333.26789999998</v>
      </c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>
      <c r="A187" s="1">
        <v>2015</v>
      </c>
      <c r="B187" s="1" t="s">
        <v>44</v>
      </c>
      <c r="C187" s="1" t="s">
        <v>75</v>
      </c>
      <c r="D187" s="1">
        <v>110592.5436</v>
      </c>
      <c r="E187" s="1">
        <v>41734.902719999998</v>
      </c>
      <c r="F187" s="1">
        <v>8681.1627009999993</v>
      </c>
      <c r="G187" s="1">
        <v>18924.968809999998</v>
      </c>
      <c r="H187" s="1">
        <v>2892.368301</v>
      </c>
      <c r="I187" s="1"/>
      <c r="J187" s="1"/>
      <c r="K187" s="1"/>
      <c r="L187" s="1">
        <v>296.55240850000001</v>
      </c>
      <c r="M187" s="1">
        <v>248.3850487</v>
      </c>
      <c r="N187" s="1">
        <v>1287.456598</v>
      </c>
      <c r="O187" s="1">
        <v>602.29887050000002</v>
      </c>
      <c r="P187" s="1">
        <v>429.78656690000003</v>
      </c>
      <c r="Q187" s="1"/>
      <c r="R187" s="1"/>
      <c r="S187" s="1"/>
      <c r="T187" s="1">
        <v>246.38827559999999</v>
      </c>
      <c r="U187" s="1">
        <v>35748.351600000002</v>
      </c>
      <c r="V187" s="1">
        <v>8689.5415630000007</v>
      </c>
      <c r="W187" s="1"/>
      <c r="X187" s="1"/>
      <c r="Y187" s="1"/>
      <c r="Z187" s="1"/>
      <c r="AA187" s="1">
        <v>8203.3221020000001</v>
      </c>
      <c r="AB187" s="1">
        <v>762.03767919999996</v>
      </c>
      <c r="AC187" s="1">
        <v>272.00144360000002</v>
      </c>
      <c r="AD187" s="1">
        <v>14353.56637</v>
      </c>
      <c r="AE187" s="1">
        <v>1550.459417</v>
      </c>
      <c r="AF187" s="1">
        <v>222608.93299999999</v>
      </c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>
      <c r="A188" s="1">
        <v>2015</v>
      </c>
      <c r="B188" s="1" t="s">
        <v>44</v>
      </c>
      <c r="C188" s="1" t="s">
        <v>76</v>
      </c>
      <c r="D188" s="1">
        <v>56688.034229999997</v>
      </c>
      <c r="E188" s="1">
        <v>28998.783769999998</v>
      </c>
      <c r="F188" s="1">
        <v>8107.2372729999997</v>
      </c>
      <c r="G188" s="1">
        <v>17770.791270000002</v>
      </c>
      <c r="H188" s="1">
        <v>1452.6282140000001</v>
      </c>
      <c r="I188" s="1"/>
      <c r="J188" s="1"/>
      <c r="K188" s="1"/>
      <c r="L188" s="1">
        <v>157.0225279</v>
      </c>
      <c r="M188" s="1">
        <v>129.66865079999999</v>
      </c>
      <c r="N188" s="1">
        <v>664.24962770000002</v>
      </c>
      <c r="O188" s="1">
        <v>746.07340469999997</v>
      </c>
      <c r="P188" s="1">
        <v>252.2560752</v>
      </c>
      <c r="Q188" s="1"/>
      <c r="R188" s="1"/>
      <c r="S188" s="1"/>
      <c r="T188" s="1">
        <v>166.7417165</v>
      </c>
      <c r="U188" s="1">
        <v>25440.593430000001</v>
      </c>
      <c r="V188" s="1">
        <v>6414.5892359999998</v>
      </c>
      <c r="W188" s="1"/>
      <c r="X188" s="1"/>
      <c r="Y188" s="1"/>
      <c r="Z188" s="1"/>
      <c r="AA188" s="1">
        <v>5845.7441769999996</v>
      </c>
      <c r="AB188" s="1">
        <v>707.94934650000005</v>
      </c>
      <c r="AC188" s="1">
        <v>146.54782399999999</v>
      </c>
      <c r="AD188" s="1">
        <v>11469.013150000001</v>
      </c>
      <c r="AE188" s="1">
        <v>2155.5302179999999</v>
      </c>
      <c r="AF188" s="1">
        <v>205461.7623</v>
      </c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>
      <c r="A189" s="1">
        <v>2015</v>
      </c>
      <c r="B189" s="1" t="s">
        <v>44</v>
      </c>
      <c r="C189" s="1" t="s">
        <v>77</v>
      </c>
      <c r="D189" s="1">
        <v>15791.24668</v>
      </c>
      <c r="E189" s="1">
        <v>11425.68514</v>
      </c>
      <c r="F189" s="1">
        <v>3972.8977650000002</v>
      </c>
      <c r="G189" s="1">
        <v>7313.4532239999999</v>
      </c>
      <c r="H189" s="1">
        <v>405.32196040000002</v>
      </c>
      <c r="I189" s="1"/>
      <c r="J189" s="1"/>
      <c r="K189" s="1"/>
      <c r="L189" s="1">
        <v>44.579209460000001</v>
      </c>
      <c r="M189" s="1">
        <v>34.608479449999997</v>
      </c>
      <c r="N189" s="1">
        <v>190.95133250000001</v>
      </c>
      <c r="O189" s="1">
        <v>396.07219359999999</v>
      </c>
      <c r="P189" s="1">
        <v>78.676126920000002</v>
      </c>
      <c r="Q189" s="1"/>
      <c r="R189" s="1"/>
      <c r="S189" s="1"/>
      <c r="T189" s="1">
        <v>62.611648160000001</v>
      </c>
      <c r="U189" s="1">
        <v>10216.799370000001</v>
      </c>
      <c r="V189" s="1">
        <v>2649.896851</v>
      </c>
      <c r="W189" s="1"/>
      <c r="X189" s="1"/>
      <c r="Y189" s="1"/>
      <c r="Z189" s="1"/>
      <c r="AA189" s="1">
        <v>2389.8531710000002</v>
      </c>
      <c r="AB189" s="1">
        <v>310.31901479999999</v>
      </c>
      <c r="AC189" s="1">
        <v>55.591853739999998</v>
      </c>
      <c r="AD189" s="1">
        <v>6443.3678970000001</v>
      </c>
      <c r="AE189" s="1">
        <v>789.26713710000001</v>
      </c>
      <c r="AF189" s="1">
        <v>92842.257240000006</v>
      </c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>
      <c r="A190" s="1">
        <v>2015</v>
      </c>
      <c r="B190" s="1" t="s">
        <v>44</v>
      </c>
      <c r="C190" s="1" t="s">
        <v>78</v>
      </c>
      <c r="D190" s="1">
        <v>13787.06889</v>
      </c>
      <c r="E190" s="1">
        <v>15376.54106</v>
      </c>
      <c r="F190" s="1">
        <v>6167.4289909999998</v>
      </c>
      <c r="G190" s="1">
        <v>13711.06538</v>
      </c>
      <c r="H190" s="1">
        <v>381.43573470000001</v>
      </c>
      <c r="I190" s="1"/>
      <c r="J190" s="1"/>
      <c r="K190" s="1"/>
      <c r="L190" s="1">
        <v>39.582284100000003</v>
      </c>
      <c r="M190" s="1">
        <v>29.15494644</v>
      </c>
      <c r="N190" s="1">
        <v>188.0964458</v>
      </c>
      <c r="O190" s="1">
        <v>776.31273610000005</v>
      </c>
      <c r="P190" s="1">
        <v>83.550808529999998</v>
      </c>
      <c r="Q190" s="1"/>
      <c r="R190" s="1"/>
      <c r="S190" s="1"/>
      <c r="T190" s="1">
        <v>64.933072300000006</v>
      </c>
      <c r="U190" s="1">
        <v>13817.37457</v>
      </c>
      <c r="V190" s="1">
        <v>3662.8400529999999</v>
      </c>
      <c r="W190" s="1"/>
      <c r="X190" s="1"/>
      <c r="Y190" s="1"/>
      <c r="Z190" s="1"/>
      <c r="AA190" s="1">
        <v>3275.2379510000001</v>
      </c>
      <c r="AB190" s="1">
        <v>445.90222290000003</v>
      </c>
      <c r="AC190" s="1">
        <v>68.630741929999999</v>
      </c>
      <c r="AD190" s="1">
        <v>8399.1537950000002</v>
      </c>
      <c r="AE190" s="1">
        <v>1364.28253</v>
      </c>
      <c r="AF190" s="1">
        <v>172474.9743</v>
      </c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>
      <c r="A191" s="1">
        <v>2015</v>
      </c>
      <c r="B191" s="1" t="s">
        <v>44</v>
      </c>
      <c r="C191" s="1" t="s">
        <v>79</v>
      </c>
      <c r="D191" s="1">
        <v>2502.4815659999999</v>
      </c>
      <c r="E191" s="1">
        <v>5310.0206260000004</v>
      </c>
      <c r="F191" s="1">
        <v>3396.9297179999999</v>
      </c>
      <c r="G191" s="1">
        <v>7450.467224</v>
      </c>
      <c r="H191" s="1">
        <v>97.42230979</v>
      </c>
      <c r="I191" s="1"/>
      <c r="J191" s="1"/>
      <c r="K191" s="1"/>
      <c r="L191" s="1">
        <v>7.3533653689999996</v>
      </c>
      <c r="M191" s="1">
        <v>5.7121523390000002</v>
      </c>
      <c r="N191" s="1">
        <v>43.042309969999998</v>
      </c>
      <c r="O191" s="1">
        <v>556.04861960000005</v>
      </c>
      <c r="P191" s="1">
        <v>20.44901059</v>
      </c>
      <c r="Q191" s="1"/>
      <c r="R191" s="1"/>
      <c r="S191" s="1"/>
      <c r="T191" s="1">
        <v>9.7533215589999998</v>
      </c>
      <c r="U191" s="1">
        <v>4570.1798349999999</v>
      </c>
      <c r="V191" s="1">
        <v>1232.289653</v>
      </c>
      <c r="W191" s="1"/>
      <c r="X191" s="1"/>
      <c r="Y191" s="1"/>
      <c r="Z191" s="1"/>
      <c r="AA191" s="1">
        <v>1071.5607199999999</v>
      </c>
      <c r="AB191" s="1">
        <v>176.11386289999999</v>
      </c>
      <c r="AC191" s="1">
        <v>19.300163380000001</v>
      </c>
      <c r="AD191" s="1">
        <v>3294.7792549999999</v>
      </c>
      <c r="AE191" s="1">
        <v>1148.2079120000001</v>
      </c>
      <c r="AF191" s="1">
        <v>76794.456550000003</v>
      </c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>
      <c r="A192" s="1">
        <v>2015</v>
      </c>
      <c r="B192" s="1" t="s">
        <v>44</v>
      </c>
      <c r="C192" s="1" t="s">
        <v>80</v>
      </c>
      <c r="D192" s="1">
        <v>974.682187</v>
      </c>
      <c r="E192" s="1">
        <v>3047.8237410000002</v>
      </c>
      <c r="F192" s="1">
        <v>1359.2582130000001</v>
      </c>
      <c r="G192" s="1">
        <v>3650.1488859999999</v>
      </c>
      <c r="H192" s="1">
        <v>53.697623839999999</v>
      </c>
      <c r="I192" s="1"/>
      <c r="J192" s="1"/>
      <c r="K192" s="1"/>
      <c r="L192" s="1">
        <v>3.074506596</v>
      </c>
      <c r="M192" s="1">
        <v>2.3217891129999999</v>
      </c>
      <c r="N192" s="1">
        <v>19.64110947</v>
      </c>
      <c r="O192" s="1">
        <v>427.4145403</v>
      </c>
      <c r="P192" s="1">
        <v>10.77964787</v>
      </c>
      <c r="Q192" s="1"/>
      <c r="R192" s="1"/>
      <c r="S192" s="1"/>
      <c r="T192" s="1">
        <v>3.573991119</v>
      </c>
      <c r="U192" s="1">
        <v>2527.2494489999999</v>
      </c>
      <c r="V192" s="1">
        <v>685.29452360000005</v>
      </c>
      <c r="W192" s="1"/>
      <c r="X192" s="1"/>
      <c r="Y192" s="1"/>
      <c r="Z192" s="1"/>
      <c r="AA192" s="1">
        <v>590.41411200000005</v>
      </c>
      <c r="AB192" s="1">
        <v>102.5804206</v>
      </c>
      <c r="AC192" s="1">
        <v>9.9156697630000004</v>
      </c>
      <c r="AD192" s="1">
        <v>2086.882036</v>
      </c>
      <c r="AE192" s="1">
        <v>375.07153740000001</v>
      </c>
      <c r="AF192" s="1">
        <v>36141.776949999999</v>
      </c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>
      <c r="A193" s="1">
        <v>2015</v>
      </c>
      <c r="B193" s="1" t="s">
        <v>44</v>
      </c>
      <c r="C193" s="1" t="s">
        <v>81</v>
      </c>
      <c r="D193" s="1">
        <v>1573.6433259999999</v>
      </c>
      <c r="E193" s="1">
        <v>12547.521629999999</v>
      </c>
      <c r="F193" s="1">
        <v>5010.9310939999996</v>
      </c>
      <c r="G193" s="1">
        <v>12037.03973</v>
      </c>
      <c r="H193" s="1">
        <v>236.2584774</v>
      </c>
      <c r="I193" s="1"/>
      <c r="J193" s="1"/>
      <c r="K193" s="1"/>
      <c r="L193" s="1">
        <v>5.2832430410000004</v>
      </c>
      <c r="M193" s="1">
        <v>4.3881613039999996</v>
      </c>
      <c r="N193" s="1">
        <v>41.820760659999998</v>
      </c>
      <c r="O193" s="1">
        <v>1577.719687</v>
      </c>
      <c r="P193" s="1">
        <v>35.20618219</v>
      </c>
      <c r="Q193" s="1"/>
      <c r="R193" s="1"/>
      <c r="S193" s="1"/>
      <c r="T193" s="1">
        <v>4.0249152319999997</v>
      </c>
      <c r="U193" s="1">
        <v>10641.13272</v>
      </c>
      <c r="V193" s="1">
        <v>2901.839966</v>
      </c>
      <c r="W193" s="1"/>
      <c r="X193" s="1"/>
      <c r="Y193" s="1"/>
      <c r="Z193" s="1"/>
      <c r="AA193" s="1">
        <v>2634.8982810000002</v>
      </c>
      <c r="AB193" s="1">
        <v>322.39258280000001</v>
      </c>
      <c r="AC193" s="1">
        <v>63.27874473</v>
      </c>
      <c r="AD193" s="1">
        <v>7573.4467489999997</v>
      </c>
      <c r="AE193" s="1">
        <v>1319.6899040000001</v>
      </c>
      <c r="AF193" s="1">
        <v>137588.03829999999</v>
      </c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>
      <c r="A194" s="1">
        <v>2015</v>
      </c>
      <c r="B194" s="1" t="s">
        <v>62</v>
      </c>
      <c r="C194" s="1" t="s">
        <v>65</v>
      </c>
      <c r="D194" s="1">
        <v>1037528.259</v>
      </c>
      <c r="E194" s="1">
        <v>1547.463148</v>
      </c>
      <c r="F194" s="1">
        <v>7581.8610440000002</v>
      </c>
      <c r="G194" s="1">
        <v>51254.106670000001</v>
      </c>
      <c r="H194" s="1">
        <v>1073.399287</v>
      </c>
      <c r="I194" s="1"/>
      <c r="J194" s="1"/>
      <c r="K194" s="1"/>
      <c r="L194" s="1">
        <v>280.14822299999997</v>
      </c>
      <c r="M194" s="1">
        <v>88.524095209999999</v>
      </c>
      <c r="N194" s="1">
        <v>1535.5160699999999</v>
      </c>
      <c r="O194" s="1">
        <v>111.558376</v>
      </c>
      <c r="P194" s="1">
        <v>17.177315910000001</v>
      </c>
      <c r="Q194" s="1"/>
      <c r="R194" s="1"/>
      <c r="S194" s="1"/>
      <c r="T194" s="1">
        <v>70.246813110000005</v>
      </c>
      <c r="U194" s="1">
        <v>475.34555089999998</v>
      </c>
      <c r="V194" s="1">
        <v>1.1599754E-2</v>
      </c>
      <c r="W194" s="1"/>
      <c r="X194" s="1"/>
      <c r="Y194" s="1"/>
      <c r="Z194" s="1"/>
      <c r="AA194" s="1">
        <v>139.09619860000001</v>
      </c>
      <c r="AB194" s="1">
        <v>2.589290342</v>
      </c>
      <c r="AC194" s="1">
        <v>122.9227769</v>
      </c>
      <c r="AD194" s="1">
        <v>19791.953560000002</v>
      </c>
      <c r="AE194" s="1">
        <v>11556.755440000001</v>
      </c>
      <c r="AF194" s="1">
        <v>261628.7751</v>
      </c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>
      <c r="A195" s="1">
        <v>2015</v>
      </c>
      <c r="B195" s="1" t="s">
        <v>62</v>
      </c>
      <c r="C195" s="1" t="s">
        <v>66</v>
      </c>
      <c r="D195" s="1">
        <v>610837.71160000004</v>
      </c>
      <c r="E195" s="1">
        <v>6070.1841990000003</v>
      </c>
      <c r="F195" s="1">
        <v>1755.2367569999999</v>
      </c>
      <c r="G195" s="1">
        <v>19727.31712</v>
      </c>
      <c r="H195" s="1">
        <v>146.61503930000001</v>
      </c>
      <c r="I195" s="1"/>
      <c r="J195" s="1"/>
      <c r="K195" s="1"/>
      <c r="L195" s="1">
        <v>158.0223675</v>
      </c>
      <c r="M195" s="1">
        <v>44.618337310000001</v>
      </c>
      <c r="N195" s="1">
        <v>320.23651080000002</v>
      </c>
      <c r="O195" s="1">
        <v>64.528664829999997</v>
      </c>
      <c r="P195" s="1">
        <v>3.4012730310000001</v>
      </c>
      <c r="Q195" s="1"/>
      <c r="R195" s="1"/>
      <c r="S195" s="1"/>
      <c r="T195" s="1">
        <v>790.36316580000005</v>
      </c>
      <c r="U195" s="1">
        <v>4610.6662210000004</v>
      </c>
      <c r="V195" s="1">
        <v>8.9431968000000001E-2</v>
      </c>
      <c r="W195" s="1"/>
      <c r="X195" s="1"/>
      <c r="Y195" s="1"/>
      <c r="Z195" s="1"/>
      <c r="AA195" s="1">
        <v>39.032928329999997</v>
      </c>
      <c r="AB195" s="1">
        <v>0.33368730899999999</v>
      </c>
      <c r="AC195" s="1">
        <v>36.42044842</v>
      </c>
      <c r="AD195" s="1">
        <v>6474.2666689999996</v>
      </c>
      <c r="AE195" s="1">
        <v>2608.1146490000001</v>
      </c>
      <c r="AF195" s="1">
        <v>85171.090830000001</v>
      </c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>
      <c r="A196" s="1">
        <v>2015</v>
      </c>
      <c r="B196" s="1" t="s">
        <v>62</v>
      </c>
      <c r="C196" s="1" t="s">
        <v>67</v>
      </c>
      <c r="D196" s="1">
        <v>1307166.412</v>
      </c>
      <c r="E196" s="1">
        <v>25567.898089999999</v>
      </c>
      <c r="F196" s="1">
        <v>4101.9059450000004</v>
      </c>
      <c r="G196" s="1">
        <v>26613.51312</v>
      </c>
      <c r="H196" s="1">
        <v>616.85256130000005</v>
      </c>
      <c r="I196" s="1"/>
      <c r="J196" s="1"/>
      <c r="K196" s="1"/>
      <c r="L196" s="1">
        <v>717.08037569999999</v>
      </c>
      <c r="M196" s="1">
        <v>296.94965309999998</v>
      </c>
      <c r="N196" s="1">
        <v>1210.1970590000001</v>
      </c>
      <c r="O196" s="1">
        <v>206.11108369999999</v>
      </c>
      <c r="P196" s="1">
        <v>10.721402919999999</v>
      </c>
      <c r="Q196" s="1"/>
      <c r="R196" s="1"/>
      <c r="S196" s="1"/>
      <c r="T196" s="1">
        <v>3257.2136839999998</v>
      </c>
      <c r="U196" s="1">
        <v>19445.749299999999</v>
      </c>
      <c r="V196" s="1">
        <v>0.46251563200000001</v>
      </c>
      <c r="W196" s="1"/>
      <c r="X196" s="1"/>
      <c r="Y196" s="1"/>
      <c r="Z196" s="1"/>
      <c r="AA196" s="1">
        <v>199.19924689999999</v>
      </c>
      <c r="AB196" s="1">
        <v>0.81413160500000004</v>
      </c>
      <c r="AC196" s="1">
        <v>194.33757180000001</v>
      </c>
      <c r="AD196" s="1">
        <v>11734.974329999999</v>
      </c>
      <c r="AE196" s="1">
        <v>3831.553402</v>
      </c>
      <c r="AF196" s="1">
        <v>155242.7824</v>
      </c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>
      <c r="A197" s="1">
        <v>2015</v>
      </c>
      <c r="B197" s="1" t="s">
        <v>62</v>
      </c>
      <c r="C197" s="1" t="s">
        <v>68</v>
      </c>
      <c r="D197" s="1">
        <v>3157722.1310000001</v>
      </c>
      <c r="E197" s="1">
        <v>96475.635269999999</v>
      </c>
      <c r="F197" s="1">
        <v>9128.4329199999993</v>
      </c>
      <c r="G197" s="1">
        <v>31744.698100000001</v>
      </c>
      <c r="H197" s="1">
        <v>2888.389087</v>
      </c>
      <c r="I197" s="1"/>
      <c r="J197" s="1"/>
      <c r="K197" s="1"/>
      <c r="L197" s="1">
        <v>2863.4041099999999</v>
      </c>
      <c r="M197" s="1">
        <v>1507.281064</v>
      </c>
      <c r="N197" s="1">
        <v>3552.4194130000001</v>
      </c>
      <c r="O197" s="1">
        <v>593.61000909999996</v>
      </c>
      <c r="P197" s="1">
        <v>31.108546570000001</v>
      </c>
      <c r="Q197" s="1"/>
      <c r="R197" s="1"/>
      <c r="S197" s="1"/>
      <c r="T197" s="1">
        <v>12475.878280000001</v>
      </c>
      <c r="U197" s="1">
        <v>73094.445479999995</v>
      </c>
      <c r="V197" s="1">
        <v>308.99769789999999</v>
      </c>
      <c r="W197" s="1"/>
      <c r="X197" s="1"/>
      <c r="Y197" s="1"/>
      <c r="Z197" s="1"/>
      <c r="AA197" s="1">
        <v>1139.904274</v>
      </c>
      <c r="AB197" s="1">
        <v>67.998869859999999</v>
      </c>
      <c r="AC197" s="1">
        <v>893.46588280000003</v>
      </c>
      <c r="AD197" s="1">
        <v>23750.723170000001</v>
      </c>
      <c r="AE197" s="1">
        <v>4607.1219410000003</v>
      </c>
      <c r="AF197" s="1">
        <v>259386.00839999999</v>
      </c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>
      <c r="A198" s="1">
        <v>2015</v>
      </c>
      <c r="B198" s="1" t="s">
        <v>62</v>
      </c>
      <c r="C198" s="1" t="s">
        <v>69</v>
      </c>
      <c r="D198" s="1">
        <v>2700590.2050000001</v>
      </c>
      <c r="E198" s="1">
        <v>130140.1424</v>
      </c>
      <c r="F198" s="1">
        <v>14300.434999999999</v>
      </c>
      <c r="G198" s="1">
        <v>34933.375330000003</v>
      </c>
      <c r="H198" s="1">
        <v>4701.6840030000003</v>
      </c>
      <c r="I198" s="1"/>
      <c r="J198" s="1"/>
      <c r="K198" s="1"/>
      <c r="L198" s="1">
        <v>3364.3578069999999</v>
      </c>
      <c r="M198" s="1">
        <v>2090.857583</v>
      </c>
      <c r="N198" s="1">
        <v>5388.1878059999999</v>
      </c>
      <c r="O198" s="1">
        <v>732.60773640000002</v>
      </c>
      <c r="P198" s="1">
        <v>53.45073206</v>
      </c>
      <c r="Q198" s="1"/>
      <c r="R198" s="1"/>
      <c r="S198" s="1"/>
      <c r="T198" s="1">
        <v>15936.52202</v>
      </c>
      <c r="U198" s="1">
        <v>98492.800090000004</v>
      </c>
      <c r="V198" s="1">
        <v>3619.205434</v>
      </c>
      <c r="W198" s="1"/>
      <c r="X198" s="1"/>
      <c r="Y198" s="1"/>
      <c r="Z198" s="1"/>
      <c r="AA198" s="1">
        <v>5149.4040379999997</v>
      </c>
      <c r="AB198" s="1">
        <v>722.28188820000003</v>
      </c>
      <c r="AC198" s="1">
        <v>2260.0760850000001</v>
      </c>
      <c r="AD198" s="1">
        <v>32040.766800000001</v>
      </c>
      <c r="AE198" s="1">
        <v>4973.3948650000002</v>
      </c>
      <c r="AF198" s="1">
        <v>287536.8455</v>
      </c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>
      <c r="A199" s="1">
        <v>2015</v>
      </c>
      <c r="B199" s="1" t="s">
        <v>62</v>
      </c>
      <c r="C199" s="1" t="s">
        <v>70</v>
      </c>
      <c r="D199" s="1">
        <v>1147165.0560000001</v>
      </c>
      <c r="E199" s="1">
        <v>83145.378649999999</v>
      </c>
      <c r="F199" s="1">
        <v>9241.6592799999999</v>
      </c>
      <c r="G199" s="1">
        <v>22273.914130000001</v>
      </c>
      <c r="H199" s="1">
        <v>2682.663916</v>
      </c>
      <c r="I199" s="1"/>
      <c r="J199" s="1"/>
      <c r="K199" s="1"/>
      <c r="L199" s="1">
        <v>1590.6560910000001</v>
      </c>
      <c r="M199" s="1">
        <v>1089.8736249999999</v>
      </c>
      <c r="N199" s="1">
        <v>3227.25497</v>
      </c>
      <c r="O199" s="1">
        <v>496.96883380000003</v>
      </c>
      <c r="P199" s="1">
        <v>42.565567559999998</v>
      </c>
      <c r="Q199" s="1"/>
      <c r="R199" s="1"/>
      <c r="S199" s="1"/>
      <c r="T199" s="1">
        <v>10704.49604</v>
      </c>
      <c r="U199" s="1">
        <v>63702.075389999998</v>
      </c>
      <c r="V199" s="1">
        <v>5808.2377379999998</v>
      </c>
      <c r="W199" s="1"/>
      <c r="X199" s="1"/>
      <c r="Y199" s="1"/>
      <c r="Z199" s="1"/>
      <c r="AA199" s="1">
        <v>6318.8333819999998</v>
      </c>
      <c r="AB199" s="1">
        <v>1115.646422</v>
      </c>
      <c r="AC199" s="1">
        <v>1639.948204</v>
      </c>
      <c r="AD199" s="1">
        <v>20494.310239999999</v>
      </c>
      <c r="AE199" s="1">
        <v>4007.939609</v>
      </c>
      <c r="AF199" s="1">
        <v>189610.61040000001</v>
      </c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>
      <c r="A200" s="1">
        <v>2015</v>
      </c>
      <c r="B200" s="1" t="s">
        <v>62</v>
      </c>
      <c r="C200" s="1" t="s">
        <v>71</v>
      </c>
      <c r="D200" s="1">
        <v>704062.37540000002</v>
      </c>
      <c r="E200" s="1">
        <v>70401.574680000005</v>
      </c>
      <c r="F200" s="1">
        <v>8484.8266719999992</v>
      </c>
      <c r="G200" s="1">
        <v>17114.594290000001</v>
      </c>
      <c r="H200" s="1">
        <v>2757.3440489999998</v>
      </c>
      <c r="I200" s="1"/>
      <c r="J200" s="1"/>
      <c r="K200" s="1"/>
      <c r="L200" s="1">
        <v>1060.9138330000001</v>
      </c>
      <c r="M200" s="1">
        <v>840.88601649999998</v>
      </c>
      <c r="N200" s="1">
        <v>3065.7749439999998</v>
      </c>
      <c r="O200" s="1">
        <v>450.39033749999999</v>
      </c>
      <c r="P200" s="1">
        <v>44.794928179999999</v>
      </c>
      <c r="Q200" s="1"/>
      <c r="R200" s="1"/>
      <c r="S200" s="1"/>
      <c r="T200" s="1">
        <v>6983.7636979999997</v>
      </c>
      <c r="U200" s="1">
        <v>55407.629150000001</v>
      </c>
      <c r="V200" s="1">
        <v>7971.1013659999999</v>
      </c>
      <c r="W200" s="1"/>
      <c r="X200" s="1"/>
      <c r="Y200" s="1"/>
      <c r="Z200" s="1"/>
      <c r="AA200" s="1">
        <v>7837.6494409999996</v>
      </c>
      <c r="AB200" s="1">
        <v>1289.7237250000001</v>
      </c>
      <c r="AC200" s="1">
        <v>1172.987296</v>
      </c>
      <c r="AD200" s="1">
        <v>16788.691279999999</v>
      </c>
      <c r="AE200" s="1">
        <v>2930.9678220000001</v>
      </c>
      <c r="AF200" s="1">
        <v>167256.3082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>
      <c r="A201" s="1">
        <v>2015</v>
      </c>
      <c r="B201" s="1" t="s">
        <v>62</v>
      </c>
      <c r="C201" s="1" t="s">
        <v>72</v>
      </c>
      <c r="D201" s="1">
        <v>496977.29190000001</v>
      </c>
      <c r="E201" s="1">
        <v>68927.346080000003</v>
      </c>
      <c r="F201" s="1">
        <v>8396.3976199999997</v>
      </c>
      <c r="G201" s="1">
        <v>16218.612580000001</v>
      </c>
      <c r="H201" s="1">
        <v>3643.7035780000001</v>
      </c>
      <c r="I201" s="1"/>
      <c r="J201" s="1"/>
      <c r="K201" s="1"/>
      <c r="L201" s="1">
        <v>709.71564860000001</v>
      </c>
      <c r="M201" s="1">
        <v>621.43426950000003</v>
      </c>
      <c r="N201" s="1">
        <v>3112.6359649999999</v>
      </c>
      <c r="O201" s="1">
        <v>473.41377899999998</v>
      </c>
      <c r="P201" s="1">
        <v>46.9614434</v>
      </c>
      <c r="Q201" s="1"/>
      <c r="R201" s="1"/>
      <c r="S201" s="1"/>
      <c r="T201" s="1">
        <v>3590.8590210000002</v>
      </c>
      <c r="U201" s="1">
        <v>56810.829279999998</v>
      </c>
      <c r="V201" s="1">
        <v>10486.854079999999</v>
      </c>
      <c r="W201" s="1"/>
      <c r="X201" s="1"/>
      <c r="Y201" s="1"/>
      <c r="Z201" s="1"/>
      <c r="AA201" s="1">
        <v>9894.1699619999999</v>
      </c>
      <c r="AB201" s="1">
        <v>1361.165399</v>
      </c>
      <c r="AC201" s="1">
        <v>782.65961890000005</v>
      </c>
      <c r="AD201" s="1">
        <v>17470.340069999998</v>
      </c>
      <c r="AE201" s="1">
        <v>2791.9177030000001</v>
      </c>
      <c r="AF201" s="1">
        <v>175115.08189999999</v>
      </c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>
      <c r="A202" s="1">
        <v>2015</v>
      </c>
      <c r="B202" s="1" t="s">
        <v>62</v>
      </c>
      <c r="C202" s="1" t="s">
        <v>73</v>
      </c>
      <c r="D202" s="1">
        <v>205463.603</v>
      </c>
      <c r="E202" s="1">
        <v>39603.814380000003</v>
      </c>
      <c r="F202" s="1">
        <v>5045.0343140000004</v>
      </c>
      <c r="G202" s="1">
        <v>9619.0998529999997</v>
      </c>
      <c r="H202" s="1">
        <v>2580.8953139999999</v>
      </c>
      <c r="I202" s="1"/>
      <c r="J202" s="1"/>
      <c r="K202" s="1"/>
      <c r="L202" s="1">
        <v>286.28132959999999</v>
      </c>
      <c r="M202" s="1">
        <v>268.24715800000001</v>
      </c>
      <c r="N202" s="1">
        <v>1753.756351</v>
      </c>
      <c r="O202" s="1">
        <v>382.22177249999999</v>
      </c>
      <c r="P202" s="1">
        <v>29.94671443</v>
      </c>
      <c r="Q202" s="1"/>
      <c r="R202" s="1"/>
      <c r="S202" s="1"/>
      <c r="T202" s="1">
        <v>921.98950339999999</v>
      </c>
      <c r="U202" s="1">
        <v>33401.842270000001</v>
      </c>
      <c r="V202" s="1">
        <v>7056.1449490000005</v>
      </c>
      <c r="W202" s="1"/>
      <c r="X202" s="1"/>
      <c r="Y202" s="1"/>
      <c r="Z202" s="1"/>
      <c r="AA202" s="1">
        <v>6660.7565850000001</v>
      </c>
      <c r="AB202" s="1">
        <v>765.08335060000002</v>
      </c>
      <c r="AC202" s="1">
        <v>375.79397849999998</v>
      </c>
      <c r="AD202" s="1">
        <v>9969.6123800000005</v>
      </c>
      <c r="AE202" s="1">
        <v>1838.5273179999999</v>
      </c>
      <c r="AF202" s="1">
        <v>110418.56570000001</v>
      </c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>
      <c r="A203" s="1">
        <v>2015</v>
      </c>
      <c r="B203" s="1" t="s">
        <v>62</v>
      </c>
      <c r="C203" s="1" t="s">
        <v>74</v>
      </c>
      <c r="D203" s="1">
        <v>164639.56779999999</v>
      </c>
      <c r="E203" s="1">
        <v>43834.956939999996</v>
      </c>
      <c r="F203" s="1">
        <v>6138.5470859999996</v>
      </c>
      <c r="G203" s="1">
        <v>11237.30372</v>
      </c>
      <c r="H203" s="1">
        <v>3194.0039839999999</v>
      </c>
      <c r="I203" s="1"/>
      <c r="J203" s="1"/>
      <c r="K203" s="1"/>
      <c r="L203" s="1">
        <v>218.21725269999999</v>
      </c>
      <c r="M203" s="1">
        <v>211.8066336</v>
      </c>
      <c r="N203" s="1">
        <v>1848.220603</v>
      </c>
      <c r="O203" s="1">
        <v>494.17874870000003</v>
      </c>
      <c r="P203" s="1">
        <v>36.465397670000002</v>
      </c>
      <c r="Q203" s="1"/>
      <c r="R203" s="1"/>
      <c r="S203" s="1"/>
      <c r="T203" s="1">
        <v>456.21829630000002</v>
      </c>
      <c r="U203" s="1">
        <v>37388.49811</v>
      </c>
      <c r="V203" s="1">
        <v>8570.8473869999998</v>
      </c>
      <c r="W203" s="1"/>
      <c r="X203" s="1"/>
      <c r="Y203" s="1"/>
      <c r="Z203" s="1"/>
      <c r="AA203" s="1">
        <v>8145.1836629999998</v>
      </c>
      <c r="AB203" s="1">
        <v>804.70960209999998</v>
      </c>
      <c r="AC203" s="1">
        <v>374.3570239</v>
      </c>
      <c r="AD203" s="1">
        <v>9763.6397359999992</v>
      </c>
      <c r="AE203" s="1">
        <v>2053.509509</v>
      </c>
      <c r="AF203" s="1">
        <v>131427.78599999999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>
      <c r="A204" s="1">
        <v>2015</v>
      </c>
      <c r="B204" s="1" t="s">
        <v>62</v>
      </c>
      <c r="C204" s="1" t="s">
        <v>75</v>
      </c>
      <c r="D204" s="1">
        <v>55118.377330000003</v>
      </c>
      <c r="E204" s="1">
        <v>20557.44875</v>
      </c>
      <c r="F204" s="1">
        <v>3055.7694449999999</v>
      </c>
      <c r="G204" s="1">
        <v>6145.2321469999997</v>
      </c>
      <c r="H204" s="1">
        <v>1554.8536810000001</v>
      </c>
      <c r="I204" s="1"/>
      <c r="J204" s="1"/>
      <c r="K204" s="1"/>
      <c r="L204" s="1">
        <v>78.257895529999999</v>
      </c>
      <c r="M204" s="1">
        <v>79.219817239999998</v>
      </c>
      <c r="N204" s="1">
        <v>736.82149240000001</v>
      </c>
      <c r="O204" s="1">
        <v>268.31665650000002</v>
      </c>
      <c r="P204" s="1">
        <v>17.247705910000001</v>
      </c>
      <c r="Q204" s="1"/>
      <c r="R204" s="1"/>
      <c r="S204" s="1"/>
      <c r="T204" s="1">
        <v>105.9671666</v>
      </c>
      <c r="U204" s="1">
        <v>17720.085340000001</v>
      </c>
      <c r="V204" s="1">
        <v>4298.7907420000001</v>
      </c>
      <c r="W204" s="1"/>
      <c r="X204" s="1"/>
      <c r="Y204" s="1"/>
      <c r="Z204" s="1"/>
      <c r="AA204" s="1">
        <v>4049.7684829999998</v>
      </c>
      <c r="AB204" s="1">
        <v>379.20931630000001</v>
      </c>
      <c r="AC204" s="1">
        <v>127.7892619</v>
      </c>
      <c r="AD204" s="1">
        <v>4779.7636700000003</v>
      </c>
      <c r="AE204" s="1">
        <v>993.02206790000002</v>
      </c>
      <c r="AF204" s="1">
        <v>74383.209659999993</v>
      </c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>
      <c r="A205" s="1">
        <v>2015</v>
      </c>
      <c r="B205" s="1" t="s">
        <v>62</v>
      </c>
      <c r="C205" s="1" t="s">
        <v>76</v>
      </c>
      <c r="D205" s="1">
        <v>18903.65207</v>
      </c>
      <c r="E205" s="1">
        <v>9538.2618249999996</v>
      </c>
      <c r="F205" s="1">
        <v>2202.5341880000001</v>
      </c>
      <c r="G205" s="1">
        <v>4793.8677070000003</v>
      </c>
      <c r="H205" s="1">
        <v>505.13715889999997</v>
      </c>
      <c r="I205" s="1"/>
      <c r="J205" s="1"/>
      <c r="K205" s="1"/>
      <c r="L205" s="1">
        <v>24.77329705</v>
      </c>
      <c r="M205" s="1">
        <v>24.77455308</v>
      </c>
      <c r="N205" s="1">
        <v>262.97838830000001</v>
      </c>
      <c r="O205" s="1">
        <v>280.28680320000001</v>
      </c>
      <c r="P205" s="1">
        <v>4.5580211479999999</v>
      </c>
      <c r="Q205" s="1"/>
      <c r="R205" s="1"/>
      <c r="S205" s="1"/>
      <c r="T205" s="1">
        <v>54.328005189999999</v>
      </c>
      <c r="U205" s="1">
        <v>8382.3263509999997</v>
      </c>
      <c r="V205" s="1">
        <v>2109.5081220000002</v>
      </c>
      <c r="W205" s="1"/>
      <c r="X205" s="1"/>
      <c r="Y205" s="1"/>
      <c r="Z205" s="1"/>
      <c r="AA205" s="1">
        <v>1857.714338</v>
      </c>
      <c r="AB205" s="1">
        <v>288.62206079999999</v>
      </c>
      <c r="AC205" s="1">
        <v>35.663591310000001</v>
      </c>
      <c r="AD205" s="1">
        <v>5146.7060929999998</v>
      </c>
      <c r="AE205" s="1">
        <v>1041.2494200000001</v>
      </c>
      <c r="AF205" s="1">
        <v>50479.332999999999</v>
      </c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>
      <c r="A206" s="1">
        <v>2015</v>
      </c>
      <c r="B206" s="1" t="s">
        <v>62</v>
      </c>
      <c r="C206" s="1" t="s">
        <v>77</v>
      </c>
      <c r="D206" s="1">
        <v>3748.2410070000001</v>
      </c>
      <c r="E206" s="1">
        <v>2749.0753300000001</v>
      </c>
      <c r="F206" s="1">
        <v>689.31926080000005</v>
      </c>
      <c r="G206" s="1">
        <v>1596.193305</v>
      </c>
      <c r="H206" s="1">
        <v>101.5007044</v>
      </c>
      <c r="I206" s="1"/>
      <c r="J206" s="1"/>
      <c r="K206" s="1"/>
      <c r="L206" s="1">
        <v>4.7492378310000003</v>
      </c>
      <c r="M206" s="1">
        <v>4.7513032339999999</v>
      </c>
      <c r="N206" s="1">
        <v>53.797240809999998</v>
      </c>
      <c r="O206" s="1">
        <v>161.71603229999999</v>
      </c>
      <c r="P206" s="1">
        <v>0.68679119799999999</v>
      </c>
      <c r="Q206" s="1"/>
      <c r="R206" s="1"/>
      <c r="S206" s="1"/>
      <c r="T206" s="1">
        <v>15.06420556</v>
      </c>
      <c r="U206" s="1">
        <v>2406.9184829999999</v>
      </c>
      <c r="V206" s="1">
        <v>623.86740499999996</v>
      </c>
      <c r="W206" s="1"/>
      <c r="X206" s="1"/>
      <c r="Y206" s="1"/>
      <c r="Z206" s="1"/>
      <c r="AA206" s="1">
        <v>531.54457390000005</v>
      </c>
      <c r="AB206" s="1">
        <v>101.01341770000001</v>
      </c>
      <c r="AC206" s="1">
        <v>9.6053437989999999</v>
      </c>
      <c r="AD206" s="1">
        <v>634.04137500000002</v>
      </c>
      <c r="AE206" s="1">
        <v>297.6109841</v>
      </c>
      <c r="AF206" s="1">
        <v>16218.647300000001</v>
      </c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>
      <c r="A207" s="1">
        <v>2015</v>
      </c>
      <c r="B207" s="1" t="s">
        <v>62</v>
      </c>
      <c r="C207" s="1" t="s">
        <v>78</v>
      </c>
      <c r="D207" s="1">
        <v>2594.169461</v>
      </c>
      <c r="E207" s="1">
        <v>3045.6299049999998</v>
      </c>
      <c r="F207" s="1">
        <v>1102.4808700000001</v>
      </c>
      <c r="G207" s="1">
        <v>2738.813087</v>
      </c>
      <c r="H207" s="1">
        <v>58.229880700000002</v>
      </c>
      <c r="I207" s="1"/>
      <c r="J207" s="1"/>
      <c r="K207" s="1"/>
      <c r="L207" s="1">
        <v>3.1472221990000002</v>
      </c>
      <c r="M207" s="1">
        <v>3.096721815</v>
      </c>
      <c r="N207" s="1">
        <v>42.470646770000002</v>
      </c>
      <c r="O207" s="1">
        <v>330.39721320000001</v>
      </c>
      <c r="P207" s="1">
        <v>0.23497574800000001</v>
      </c>
      <c r="Q207" s="1"/>
      <c r="R207" s="1"/>
      <c r="S207" s="1"/>
      <c r="T207" s="1">
        <v>12.42546445</v>
      </c>
      <c r="U207" s="1">
        <v>2595.5461359999999</v>
      </c>
      <c r="V207" s="1">
        <v>687.75945409999997</v>
      </c>
      <c r="W207" s="1"/>
      <c r="X207" s="1"/>
      <c r="Y207" s="1"/>
      <c r="Z207" s="1"/>
      <c r="AA207" s="1">
        <v>563.6544189</v>
      </c>
      <c r="AB207" s="1">
        <v>131.35227140000001</v>
      </c>
      <c r="AC207" s="1">
        <v>9.1844935319999994</v>
      </c>
      <c r="AD207" s="1">
        <v>846.2270661</v>
      </c>
      <c r="AE207" s="1">
        <v>674.94194140000002</v>
      </c>
      <c r="AF207" s="1">
        <v>26052.570640000002</v>
      </c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>
      <c r="A208" s="1">
        <v>2015</v>
      </c>
      <c r="B208" s="1" t="s">
        <v>62</v>
      </c>
      <c r="C208" s="1" t="s">
        <v>79</v>
      </c>
      <c r="D208" s="1">
        <v>456.44625930000001</v>
      </c>
      <c r="E208" s="1">
        <v>1032.008456</v>
      </c>
      <c r="F208" s="1">
        <v>620.76825110000004</v>
      </c>
      <c r="G208" s="1">
        <v>889.24207479999995</v>
      </c>
      <c r="H208" s="1">
        <v>14.28059916</v>
      </c>
      <c r="I208" s="1"/>
      <c r="J208" s="1"/>
      <c r="K208" s="1"/>
      <c r="L208" s="1">
        <v>0.51582631000000001</v>
      </c>
      <c r="M208" s="1">
        <v>0.51314337099999996</v>
      </c>
      <c r="N208" s="1">
        <v>8.1757101740000007</v>
      </c>
      <c r="O208" s="1">
        <v>183.8161451</v>
      </c>
      <c r="P208" s="1">
        <v>0.24320013500000001</v>
      </c>
      <c r="Q208" s="1"/>
      <c r="R208" s="1"/>
      <c r="S208" s="1"/>
      <c r="T208" s="1">
        <v>2.2212187800000001</v>
      </c>
      <c r="U208" s="1">
        <v>822.16733169999998</v>
      </c>
      <c r="V208" s="1">
        <v>221.6952498</v>
      </c>
      <c r="W208" s="1"/>
      <c r="X208" s="1"/>
      <c r="Y208" s="1"/>
      <c r="Z208" s="1"/>
      <c r="AA208" s="1">
        <v>180.59399970000001</v>
      </c>
      <c r="AB208" s="1">
        <v>43.968298959999998</v>
      </c>
      <c r="AC208" s="1">
        <v>3.5987402180000001</v>
      </c>
      <c r="AD208" s="1">
        <v>209.18294230000001</v>
      </c>
      <c r="AE208" s="1">
        <v>390.95417730000003</v>
      </c>
      <c r="AF208" s="1">
        <v>6903.7544820000003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>
      <c r="A209" s="1">
        <v>2015</v>
      </c>
      <c r="B209" s="1" t="s">
        <v>62</v>
      </c>
      <c r="C209" s="1" t="s">
        <v>80</v>
      </c>
      <c r="D209" s="1">
        <v>180.38596709999999</v>
      </c>
      <c r="E209" s="1">
        <v>591.26564010000004</v>
      </c>
      <c r="F209" s="1">
        <v>142.73350959999999</v>
      </c>
      <c r="G209" s="1">
        <v>213.4148371</v>
      </c>
      <c r="H209" s="1">
        <v>10.8067691</v>
      </c>
      <c r="I209" s="1"/>
      <c r="J209" s="1"/>
      <c r="K209" s="1"/>
      <c r="L209" s="1">
        <v>0.24087043499999999</v>
      </c>
      <c r="M209" s="1">
        <v>0.22878894299999999</v>
      </c>
      <c r="N209" s="1">
        <v>3.7587728280000001</v>
      </c>
      <c r="O209" s="1">
        <v>105.7191029</v>
      </c>
      <c r="P209" s="1">
        <v>0</v>
      </c>
      <c r="Q209" s="1"/>
      <c r="R209" s="1"/>
      <c r="S209" s="1"/>
      <c r="T209" s="1">
        <v>0.78494197499999996</v>
      </c>
      <c r="U209" s="1">
        <v>469.6792059</v>
      </c>
      <c r="V209" s="1">
        <v>127.3581904</v>
      </c>
      <c r="W209" s="1"/>
      <c r="X209" s="1"/>
      <c r="Y209" s="1"/>
      <c r="Z209" s="1"/>
      <c r="AA209" s="1">
        <v>106.442898</v>
      </c>
      <c r="AB209" s="1">
        <v>22.76083972</v>
      </c>
      <c r="AC209" s="1">
        <v>2.2670345099999998</v>
      </c>
      <c r="AD209" s="1">
        <v>195.1230032</v>
      </c>
      <c r="AE209" s="1">
        <v>22.359415500000001</v>
      </c>
      <c r="AF209" s="1">
        <v>3171.9933719999999</v>
      </c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>
      <c r="A210" s="1">
        <v>2015</v>
      </c>
      <c r="B210" s="1" t="s">
        <v>62</v>
      </c>
      <c r="C210" s="1" t="s">
        <v>81</v>
      </c>
      <c r="D210" s="1">
        <v>245.1654581</v>
      </c>
      <c r="E210" s="1">
        <v>1916.102625</v>
      </c>
      <c r="F210" s="1">
        <v>452.21014589999999</v>
      </c>
      <c r="G210" s="1">
        <v>1418.328888</v>
      </c>
      <c r="H210" s="1">
        <v>24.180962739999998</v>
      </c>
      <c r="I210" s="1"/>
      <c r="J210" s="1"/>
      <c r="K210" s="1"/>
      <c r="L210" s="1">
        <v>0.31358603899999998</v>
      </c>
      <c r="M210" s="1">
        <v>0.30432426400000001</v>
      </c>
      <c r="N210" s="1">
        <v>5.9436520289999999</v>
      </c>
      <c r="O210" s="1">
        <v>404.32390700000002</v>
      </c>
      <c r="P210" s="1">
        <v>0.157485289</v>
      </c>
      <c r="Q210" s="1"/>
      <c r="R210" s="1"/>
      <c r="S210" s="1"/>
      <c r="T210" s="1">
        <v>1.018754478</v>
      </c>
      <c r="U210" s="1">
        <v>1479.609089</v>
      </c>
      <c r="V210" s="1">
        <v>403.52643790000002</v>
      </c>
      <c r="W210" s="1"/>
      <c r="X210" s="1"/>
      <c r="Y210" s="1"/>
      <c r="Z210" s="1"/>
      <c r="AA210" s="1">
        <v>317.46997579999999</v>
      </c>
      <c r="AB210" s="1">
        <v>92.03120792</v>
      </c>
      <c r="AC210" s="1">
        <v>7.3550087790000003</v>
      </c>
      <c r="AD210" s="1">
        <v>263.186961</v>
      </c>
      <c r="AE210" s="1">
        <v>306.33495049999999</v>
      </c>
      <c r="AF210" s="1">
        <v>13134.006590000001</v>
      </c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>
      <c r="A211" s="1">
        <v>2015</v>
      </c>
      <c r="B211" s="1" t="s">
        <v>63</v>
      </c>
      <c r="C211" s="1" t="s">
        <v>64</v>
      </c>
      <c r="D211" s="1">
        <v>6718.1315160000004</v>
      </c>
      <c r="E211" s="1">
        <v>346.92463789999999</v>
      </c>
      <c r="F211" s="1">
        <v>35.560759249999997</v>
      </c>
      <c r="G211" s="1">
        <v>144.45668739999999</v>
      </c>
      <c r="H211" s="1">
        <v>15.77397691</v>
      </c>
      <c r="I211" s="1"/>
      <c r="J211" s="1"/>
      <c r="K211" s="1"/>
      <c r="L211" s="1">
        <v>11.77083826</v>
      </c>
      <c r="M211" s="1">
        <v>5.8088135510000001</v>
      </c>
      <c r="N211" s="1">
        <v>13.82690715</v>
      </c>
      <c r="O211" s="1">
        <v>2.3797485620000001</v>
      </c>
      <c r="P211" s="1">
        <v>4.0117920600000003</v>
      </c>
      <c r="Q211" s="1"/>
      <c r="R211" s="1"/>
      <c r="S211" s="1"/>
      <c r="T211" s="1">
        <v>29.568599989999999</v>
      </c>
      <c r="U211" s="1">
        <v>266.92174549999999</v>
      </c>
      <c r="V211" s="1">
        <v>28.044304759999999</v>
      </c>
      <c r="W211" s="1"/>
      <c r="X211" s="1"/>
      <c r="Y211" s="1"/>
      <c r="Z211" s="1"/>
      <c r="AA211" s="1">
        <v>29.758112610000001</v>
      </c>
      <c r="AB211" s="1">
        <v>3.431417835</v>
      </c>
      <c r="AC211" s="1">
        <v>5.1958847099999996</v>
      </c>
      <c r="AD211" s="1">
        <v>93.640751789999996</v>
      </c>
      <c r="AE211" s="1">
        <v>23.395054429999998</v>
      </c>
      <c r="AF211" s="1">
        <v>1022.614136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>
      <c r="A212" s="1">
        <v>2014</v>
      </c>
      <c r="B212" s="1" t="s">
        <v>82</v>
      </c>
      <c r="C212" s="1" t="s">
        <v>45</v>
      </c>
      <c r="D212" s="1">
        <v>2233244</v>
      </c>
      <c r="E212" s="1">
        <v>3879.6575360000002</v>
      </c>
      <c r="F212" s="1">
        <v>18790.646639999999</v>
      </c>
      <c r="G212" s="1">
        <v>121713.86289999999</v>
      </c>
      <c r="H212" s="1">
        <v>2744.7665400000001</v>
      </c>
      <c r="I212" s="1"/>
      <c r="J212" s="1"/>
      <c r="K212" s="1"/>
      <c r="L212" s="1">
        <v>880.58906379999996</v>
      </c>
      <c r="M212" s="1">
        <v>256.49992730000002</v>
      </c>
      <c r="N212" s="1">
        <v>3323.1432789999999</v>
      </c>
      <c r="O212" s="1">
        <v>235.92400029999999</v>
      </c>
      <c r="P212" s="1">
        <v>1034.9880989999999</v>
      </c>
      <c r="Q212" s="1"/>
      <c r="R212" s="1"/>
      <c r="S212" s="1"/>
      <c r="T212" s="1">
        <v>127.7395746</v>
      </c>
      <c r="U212" s="1">
        <v>916.45449010000004</v>
      </c>
      <c r="V212" s="1">
        <v>57.260383640000001</v>
      </c>
      <c r="W212" s="1"/>
      <c r="X212" s="1"/>
      <c r="Y212" s="1"/>
      <c r="Z212" s="1"/>
      <c r="AA212" s="1">
        <v>341.3810072</v>
      </c>
      <c r="AB212" s="1">
        <v>10.11003563</v>
      </c>
      <c r="AC212" s="1">
        <v>294.24640310000001</v>
      </c>
      <c r="AD212" s="1">
        <v>52441.662909999999</v>
      </c>
      <c r="AE212" s="1"/>
      <c r="AF212" s="1">
        <v>717209.04399999999</v>
      </c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>
      <c r="A213" s="1">
        <v>2014</v>
      </c>
      <c r="B213" s="1" t="s">
        <v>82</v>
      </c>
      <c r="C213" s="1" t="s">
        <v>83</v>
      </c>
      <c r="D213" s="1">
        <v>1221175</v>
      </c>
      <c r="E213" s="1">
        <v>11434.374680000001</v>
      </c>
      <c r="F213" s="1">
        <v>4704.9425620000002</v>
      </c>
      <c r="G213" s="1">
        <v>51591.574220000002</v>
      </c>
      <c r="H213" s="1">
        <v>324.4032416</v>
      </c>
      <c r="I213" s="1"/>
      <c r="J213" s="1"/>
      <c r="K213" s="1"/>
      <c r="L213" s="1">
        <v>338.14017949999999</v>
      </c>
      <c r="M213" s="1">
        <v>98.535919469999996</v>
      </c>
      <c r="N213" s="1">
        <v>559.67301280000004</v>
      </c>
      <c r="O213" s="1">
        <v>112.770296</v>
      </c>
      <c r="P213" s="1">
        <v>122.30466749999999</v>
      </c>
      <c r="Q213" s="1"/>
      <c r="R213" s="1"/>
      <c r="S213" s="1"/>
      <c r="T213" s="1">
        <v>1406.417295</v>
      </c>
      <c r="U213" s="1">
        <v>8472.1300659999997</v>
      </c>
      <c r="V213" s="1">
        <v>11.232646620000001</v>
      </c>
      <c r="W213" s="1"/>
      <c r="X213" s="1"/>
      <c r="Y213" s="1"/>
      <c r="Z213" s="1"/>
      <c r="AA213" s="1">
        <v>83.060788650000006</v>
      </c>
      <c r="AB213" s="1">
        <v>1.6481412499999999</v>
      </c>
      <c r="AC213" s="1">
        <v>73.476283280000004</v>
      </c>
      <c r="AD213" s="1">
        <v>17641.54177</v>
      </c>
      <c r="AE213" s="1"/>
      <c r="AF213" s="1">
        <v>226573.18539999999</v>
      </c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>
      <c r="A214" s="1">
        <v>2014</v>
      </c>
      <c r="B214" s="1" t="s">
        <v>82</v>
      </c>
      <c r="C214" s="1" t="s">
        <v>84</v>
      </c>
      <c r="D214" s="1">
        <v>2741730</v>
      </c>
      <c r="E214" s="1">
        <v>50851.4444</v>
      </c>
      <c r="F214" s="1">
        <v>9506.7896500000006</v>
      </c>
      <c r="G214" s="1">
        <v>64707.931270000001</v>
      </c>
      <c r="H214" s="1">
        <v>1410.121478</v>
      </c>
      <c r="I214" s="1"/>
      <c r="J214" s="1"/>
      <c r="K214" s="1"/>
      <c r="L214" s="1">
        <v>1799.27521</v>
      </c>
      <c r="M214" s="1">
        <v>577.45491230000005</v>
      </c>
      <c r="N214" s="1">
        <v>2032.642869</v>
      </c>
      <c r="O214" s="1">
        <v>417.27476039999999</v>
      </c>
      <c r="P214" s="1">
        <v>570.38158299999998</v>
      </c>
      <c r="Q214" s="1"/>
      <c r="R214" s="1"/>
      <c r="S214" s="1"/>
      <c r="T214" s="1">
        <v>6174.6373720000001</v>
      </c>
      <c r="U214" s="1">
        <v>37869.656210000001</v>
      </c>
      <c r="V214" s="1">
        <v>19.261303080000001</v>
      </c>
      <c r="W214" s="1"/>
      <c r="X214" s="1"/>
      <c r="Y214" s="1"/>
      <c r="Z214" s="1"/>
      <c r="AA214" s="1">
        <v>408.40022820000002</v>
      </c>
      <c r="AB214" s="1">
        <v>3.0906915000000001</v>
      </c>
      <c r="AC214" s="1">
        <v>392.22961659999999</v>
      </c>
      <c r="AD214" s="1">
        <v>42382.24841</v>
      </c>
      <c r="AE214" s="1"/>
      <c r="AF214" s="1">
        <v>423886.02519999997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>
      <c r="A215" s="1">
        <v>2014</v>
      </c>
      <c r="B215" s="1" t="s">
        <v>82</v>
      </c>
      <c r="C215" s="1" t="s">
        <v>85</v>
      </c>
      <c r="D215" s="1">
        <v>8424898</v>
      </c>
      <c r="E215" s="1">
        <v>243019.97690000001</v>
      </c>
      <c r="F215" s="1">
        <v>22573.617340000001</v>
      </c>
      <c r="G215" s="1">
        <v>90890.929090000005</v>
      </c>
      <c r="H215" s="1">
        <v>8087.3630190000003</v>
      </c>
      <c r="I215" s="1"/>
      <c r="J215" s="1"/>
      <c r="K215" s="1"/>
      <c r="L215" s="1">
        <v>8726.4250319999992</v>
      </c>
      <c r="M215" s="1">
        <v>3863.4286619999998</v>
      </c>
      <c r="N215" s="1">
        <v>7500.9356680000001</v>
      </c>
      <c r="O215" s="1">
        <v>2359.697987</v>
      </c>
      <c r="P215" s="1">
        <v>1781.101707</v>
      </c>
      <c r="Q215" s="1"/>
      <c r="R215" s="1"/>
      <c r="S215" s="1"/>
      <c r="T215" s="1">
        <v>29677.068599999999</v>
      </c>
      <c r="U215" s="1">
        <v>181023.95619999999</v>
      </c>
      <c r="V215" s="1">
        <v>549.30086519999998</v>
      </c>
      <c r="W215" s="1"/>
      <c r="X215" s="1"/>
      <c r="Y215" s="1"/>
      <c r="Z215" s="1"/>
      <c r="AA215" s="1">
        <v>2435.1908250000001</v>
      </c>
      <c r="AB215" s="1">
        <v>123.567942</v>
      </c>
      <c r="AC215" s="1">
        <v>2009.4579020000001</v>
      </c>
      <c r="AD215" s="1">
        <v>73376.292520000003</v>
      </c>
      <c r="AE215" s="1"/>
      <c r="AF215" s="1">
        <v>830707.27209999994</v>
      </c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>
      <c r="A216" s="1">
        <v>2014</v>
      </c>
      <c r="B216" s="1" t="s">
        <v>82</v>
      </c>
      <c r="C216" s="1" t="s">
        <v>86</v>
      </c>
      <c r="D216" s="1">
        <v>6283792</v>
      </c>
      <c r="E216" s="1">
        <v>283844.1838</v>
      </c>
      <c r="F216" s="1">
        <v>33094.815710000003</v>
      </c>
      <c r="G216" s="1">
        <v>95776.335460000002</v>
      </c>
      <c r="H216" s="1">
        <v>12272.454100000001</v>
      </c>
      <c r="I216" s="1"/>
      <c r="J216" s="1"/>
      <c r="K216" s="1"/>
      <c r="L216" s="1">
        <v>9177.0492950000007</v>
      </c>
      <c r="M216" s="1">
        <v>5568.9022919999998</v>
      </c>
      <c r="N216" s="1">
        <v>11414.618539999999</v>
      </c>
      <c r="O216" s="1">
        <v>2205.086065</v>
      </c>
      <c r="P216" s="1">
        <v>2400.112126</v>
      </c>
      <c r="Q216" s="1"/>
      <c r="R216" s="1"/>
      <c r="S216" s="1"/>
      <c r="T216" s="1">
        <v>30936.7009</v>
      </c>
      <c r="U216" s="1">
        <v>209869.2605</v>
      </c>
      <c r="V216" s="1">
        <v>6897.9850610000003</v>
      </c>
      <c r="W216" s="1"/>
      <c r="X216" s="1"/>
      <c r="Y216" s="1"/>
      <c r="Z216" s="1"/>
      <c r="AA216" s="1">
        <v>10093.86577</v>
      </c>
      <c r="AB216" s="1">
        <v>1377.3976150000001</v>
      </c>
      <c r="AC216" s="1">
        <v>4573.2783220000001</v>
      </c>
      <c r="AD216" s="1">
        <v>104250.79549999999</v>
      </c>
      <c r="AE216" s="1"/>
      <c r="AF216" s="1">
        <v>855269.90220000001</v>
      </c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>
      <c r="A217" s="1">
        <v>2014</v>
      </c>
      <c r="B217" s="1" t="s">
        <v>82</v>
      </c>
      <c r="C217" s="1" t="s">
        <v>87</v>
      </c>
      <c r="D217" s="1">
        <v>2557690</v>
      </c>
      <c r="E217" s="1">
        <v>173701.93780000001</v>
      </c>
      <c r="F217" s="1">
        <v>21571.076120000002</v>
      </c>
      <c r="G217" s="1">
        <v>57371.338739999999</v>
      </c>
      <c r="H217" s="1">
        <v>6651.7543450000003</v>
      </c>
      <c r="I217" s="1"/>
      <c r="J217" s="1"/>
      <c r="K217" s="1"/>
      <c r="L217" s="1">
        <v>3758.7518209999998</v>
      </c>
      <c r="M217" s="1">
        <v>3019.6124799999998</v>
      </c>
      <c r="N217" s="1">
        <v>6946.8207160000002</v>
      </c>
      <c r="O217" s="1">
        <v>1385.3032370000001</v>
      </c>
      <c r="P217" s="1">
        <v>1529.7390680000001</v>
      </c>
      <c r="Q217" s="1"/>
      <c r="R217" s="1"/>
      <c r="S217" s="1"/>
      <c r="T217" s="1">
        <v>19940.709869999999</v>
      </c>
      <c r="U217" s="1">
        <v>130469.2463</v>
      </c>
      <c r="V217" s="1">
        <v>10970.785760000001</v>
      </c>
      <c r="W217" s="1"/>
      <c r="X217" s="1"/>
      <c r="Y217" s="1"/>
      <c r="Z217" s="1"/>
      <c r="AA217" s="1">
        <v>12379.9048</v>
      </c>
      <c r="AB217" s="1">
        <v>2037.5222570000001</v>
      </c>
      <c r="AC217" s="1">
        <v>3446.6412959999998</v>
      </c>
      <c r="AD217" s="1">
        <v>56505.385950000004</v>
      </c>
      <c r="AE217" s="1"/>
      <c r="AF217" s="1">
        <v>545698.50910000002</v>
      </c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>
      <c r="A218" s="1">
        <v>2014</v>
      </c>
      <c r="B218" s="1" t="s">
        <v>82</v>
      </c>
      <c r="C218" s="1" t="s">
        <v>88</v>
      </c>
      <c r="D218" s="1">
        <v>1620631</v>
      </c>
      <c r="E218" s="1">
        <v>151575.02340000001</v>
      </c>
      <c r="F218" s="1">
        <v>19690.645059999999</v>
      </c>
      <c r="G218" s="1">
        <v>46338.460249999996</v>
      </c>
      <c r="H218" s="1">
        <v>6376.1836210000001</v>
      </c>
      <c r="I218" s="1"/>
      <c r="J218" s="1"/>
      <c r="K218" s="1"/>
      <c r="L218" s="1">
        <v>2607.594975</v>
      </c>
      <c r="M218" s="1">
        <v>2373.9018070000002</v>
      </c>
      <c r="N218" s="1">
        <v>6371.3189000000002</v>
      </c>
      <c r="O218" s="1">
        <v>1144.387078</v>
      </c>
      <c r="P218" s="1">
        <v>1515.6683989999999</v>
      </c>
      <c r="Q218" s="1"/>
      <c r="R218" s="1"/>
      <c r="S218" s="1"/>
      <c r="T218" s="1">
        <v>14323.23423</v>
      </c>
      <c r="U218" s="1">
        <v>116862.7344</v>
      </c>
      <c r="V218" s="1">
        <v>16040.42693</v>
      </c>
      <c r="W218" s="1"/>
      <c r="X218" s="1"/>
      <c r="Y218" s="1"/>
      <c r="Z218" s="1"/>
      <c r="AA218" s="1">
        <v>16250.84043</v>
      </c>
      <c r="AB218" s="1">
        <v>2448.3588960000002</v>
      </c>
      <c r="AC218" s="1">
        <v>2658.7726349999998</v>
      </c>
      <c r="AD218" s="1">
        <v>47008.952160000001</v>
      </c>
      <c r="AE218" s="1"/>
      <c r="AF218" s="1">
        <v>481540.60090000002</v>
      </c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>
      <c r="A219" s="1">
        <v>2014</v>
      </c>
      <c r="B219" s="1" t="s">
        <v>82</v>
      </c>
      <c r="C219" s="1" t="s">
        <v>89</v>
      </c>
      <c r="D219" s="1">
        <v>1199481</v>
      </c>
      <c r="E219" s="1">
        <v>156183.962</v>
      </c>
      <c r="F219" s="1">
        <v>21380.02621</v>
      </c>
      <c r="G219" s="1">
        <v>48666.413569999997</v>
      </c>
      <c r="H219" s="1">
        <v>8467.739646</v>
      </c>
      <c r="I219" s="1"/>
      <c r="J219" s="1"/>
      <c r="K219" s="1"/>
      <c r="L219" s="1">
        <v>2156.4100170000002</v>
      </c>
      <c r="M219" s="1">
        <v>1967.964371</v>
      </c>
      <c r="N219" s="1">
        <v>6652.2741699999997</v>
      </c>
      <c r="O219" s="1">
        <v>1204.7059180000001</v>
      </c>
      <c r="P219" s="1">
        <v>1614.5907400000001</v>
      </c>
      <c r="Q219" s="1"/>
      <c r="R219" s="1"/>
      <c r="S219" s="1"/>
      <c r="T219" s="1">
        <v>7820.8936599999997</v>
      </c>
      <c r="U219" s="1">
        <v>126299.3835</v>
      </c>
      <c r="V219" s="1">
        <v>22789.76309</v>
      </c>
      <c r="W219" s="1"/>
      <c r="X219" s="1"/>
      <c r="Y219" s="1"/>
      <c r="Z219" s="1"/>
      <c r="AA219" s="1">
        <v>21987.31149</v>
      </c>
      <c r="AB219" s="1">
        <v>2740.7196119999999</v>
      </c>
      <c r="AC219" s="1">
        <v>1938.2680210000001</v>
      </c>
      <c r="AD219" s="1">
        <v>50019.013180000002</v>
      </c>
      <c r="AE219" s="1"/>
      <c r="AF219" s="1">
        <v>543950.31279999996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>
      <c r="A220" s="1">
        <v>2014</v>
      </c>
      <c r="B220" s="1" t="s">
        <v>82</v>
      </c>
      <c r="C220" s="1" t="s">
        <v>90</v>
      </c>
      <c r="D220" s="1">
        <v>532434</v>
      </c>
      <c r="E220" s="1">
        <v>95900.583549999996</v>
      </c>
      <c r="F220" s="1">
        <v>14245.2572</v>
      </c>
      <c r="G220" s="1">
        <v>29694.48372</v>
      </c>
      <c r="H220" s="1">
        <v>6233.8409629999996</v>
      </c>
      <c r="I220" s="1"/>
      <c r="J220" s="1"/>
      <c r="K220" s="1"/>
      <c r="L220" s="1">
        <v>1016.60725</v>
      </c>
      <c r="M220" s="1">
        <v>925.52169690000005</v>
      </c>
      <c r="N220" s="1">
        <v>3906.805398</v>
      </c>
      <c r="O220" s="1">
        <v>899.53511709999998</v>
      </c>
      <c r="P220" s="1">
        <v>1008.899815</v>
      </c>
      <c r="Q220" s="1"/>
      <c r="R220" s="1"/>
      <c r="S220" s="1"/>
      <c r="T220" s="1">
        <v>2246.5901039999999</v>
      </c>
      <c r="U220" s="1">
        <v>79662.783209999994</v>
      </c>
      <c r="V220" s="1">
        <v>16581.714629999999</v>
      </c>
      <c r="W220" s="1"/>
      <c r="X220" s="1"/>
      <c r="Y220" s="1"/>
      <c r="Z220" s="1"/>
      <c r="AA220" s="1">
        <v>15821.705599999999</v>
      </c>
      <c r="AB220" s="1">
        <v>1702.8298970000001</v>
      </c>
      <c r="AC220" s="1">
        <v>942.82086770000001</v>
      </c>
      <c r="AD220" s="1">
        <v>30975.475470000001</v>
      </c>
      <c r="AE220" s="1"/>
      <c r="AF220" s="1">
        <v>354215.25750000001</v>
      </c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>
      <c r="A221" s="1">
        <v>2014</v>
      </c>
      <c r="B221" s="1" t="s">
        <v>82</v>
      </c>
      <c r="C221" s="1" t="s">
        <v>91</v>
      </c>
      <c r="D221" s="1">
        <v>474982</v>
      </c>
      <c r="E221" s="1">
        <v>118457.0521</v>
      </c>
      <c r="F221" s="1">
        <v>18292.013760000002</v>
      </c>
      <c r="G221" s="1">
        <v>40858.610679999998</v>
      </c>
      <c r="H221" s="1">
        <v>8479.1155589999998</v>
      </c>
      <c r="I221" s="1"/>
      <c r="J221" s="1"/>
      <c r="K221" s="1"/>
      <c r="L221" s="1">
        <v>931.33413589999998</v>
      </c>
      <c r="M221" s="1">
        <v>846.82608210000001</v>
      </c>
      <c r="N221" s="1">
        <v>4600.1514319999997</v>
      </c>
      <c r="O221" s="1">
        <v>1380.351539</v>
      </c>
      <c r="P221" s="1">
        <v>1153.336591</v>
      </c>
      <c r="Q221" s="1"/>
      <c r="R221" s="1"/>
      <c r="S221" s="1"/>
      <c r="T221" s="1">
        <v>1311.586824</v>
      </c>
      <c r="U221" s="1">
        <v>99754.349910000004</v>
      </c>
      <c r="V221" s="1">
        <v>22687.529900000001</v>
      </c>
      <c r="W221" s="1"/>
      <c r="X221" s="1"/>
      <c r="Y221" s="1"/>
      <c r="Z221" s="1"/>
      <c r="AA221" s="1">
        <v>21727.04666</v>
      </c>
      <c r="AB221" s="1">
        <v>2032.5124559999999</v>
      </c>
      <c r="AC221" s="1">
        <v>1072.0292649999999</v>
      </c>
      <c r="AD221" s="1">
        <v>34796.137450000002</v>
      </c>
      <c r="AE221" s="1"/>
      <c r="AF221" s="1">
        <v>478693.58799999999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>
      <c r="A222" s="1">
        <v>2014</v>
      </c>
      <c r="B222" s="1" t="s">
        <v>82</v>
      </c>
      <c r="C222" s="1" t="s">
        <v>92</v>
      </c>
      <c r="D222" s="1">
        <v>168224</v>
      </c>
      <c r="E222" s="1">
        <v>57720.616690000003</v>
      </c>
      <c r="F222" s="1">
        <v>10127.245730000001</v>
      </c>
      <c r="G222" s="1">
        <v>22349.010020000002</v>
      </c>
      <c r="H222" s="1">
        <v>3913.3827329999999</v>
      </c>
      <c r="I222" s="1"/>
      <c r="J222" s="1"/>
      <c r="K222" s="1"/>
      <c r="L222" s="1">
        <v>342.0046633</v>
      </c>
      <c r="M222" s="1">
        <v>314.65527850000001</v>
      </c>
      <c r="N222" s="1">
        <v>1820.7589800000001</v>
      </c>
      <c r="O222" s="1">
        <v>900.04195230000005</v>
      </c>
      <c r="P222" s="1">
        <v>420.79543080000002</v>
      </c>
      <c r="Q222" s="1"/>
      <c r="R222" s="1"/>
      <c r="S222" s="1"/>
      <c r="T222" s="1">
        <v>383.03118590000003</v>
      </c>
      <c r="U222" s="1">
        <v>49625.971570000002</v>
      </c>
      <c r="V222" s="1">
        <v>11973.207039999999</v>
      </c>
      <c r="W222" s="1"/>
      <c r="X222" s="1"/>
      <c r="Y222" s="1"/>
      <c r="Z222" s="1"/>
      <c r="AA222" s="1">
        <v>11176.215260000001</v>
      </c>
      <c r="AB222" s="1">
        <v>1139.9983970000001</v>
      </c>
      <c r="AC222" s="1">
        <v>343.00662340000002</v>
      </c>
      <c r="AD222" s="1">
        <v>18080.401890000001</v>
      </c>
      <c r="AE222" s="1"/>
      <c r="AF222" s="1">
        <v>263835.89159999997</v>
      </c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>
      <c r="A223" s="1">
        <v>2014</v>
      </c>
      <c r="B223" s="1" t="s">
        <v>82</v>
      </c>
      <c r="C223" s="1" t="s">
        <v>93</v>
      </c>
      <c r="D223" s="1">
        <v>78617</v>
      </c>
      <c r="E223" s="1">
        <v>36843.49411</v>
      </c>
      <c r="F223" s="1">
        <v>9248.7072669999998</v>
      </c>
      <c r="G223" s="1">
        <v>18259.36218</v>
      </c>
      <c r="H223" s="1">
        <v>1813.634912</v>
      </c>
      <c r="I223" s="1"/>
      <c r="J223" s="1"/>
      <c r="K223" s="1"/>
      <c r="L223" s="1">
        <v>170.19687139999999</v>
      </c>
      <c r="M223" s="1">
        <v>155.91071539999999</v>
      </c>
      <c r="N223" s="1">
        <v>865.61354840000001</v>
      </c>
      <c r="O223" s="1">
        <v>927.64563969999995</v>
      </c>
      <c r="P223" s="1">
        <v>268.46306379999999</v>
      </c>
      <c r="Q223" s="1"/>
      <c r="R223" s="1"/>
      <c r="S223" s="1"/>
      <c r="T223" s="1">
        <v>232.52799139999999</v>
      </c>
      <c r="U223" s="1">
        <v>32409.501370000002</v>
      </c>
      <c r="V223" s="1">
        <v>8121.7405699999999</v>
      </c>
      <c r="W223" s="1"/>
      <c r="X223" s="1"/>
      <c r="Y223" s="1"/>
      <c r="Z223" s="1"/>
      <c r="AA223" s="1">
        <v>7300.2687999999998</v>
      </c>
      <c r="AB223" s="1">
        <v>991.76666769999997</v>
      </c>
      <c r="AC223" s="1">
        <v>170.29489810000001</v>
      </c>
      <c r="AD223" s="1">
        <v>12171.42454</v>
      </c>
      <c r="AE223" s="1"/>
      <c r="AF223" s="1">
        <v>226231.22700000001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>
      <c r="A224" s="1">
        <v>2014</v>
      </c>
      <c r="B224" s="1" t="s">
        <v>82</v>
      </c>
      <c r="C224" s="1" t="s">
        <v>94</v>
      </c>
      <c r="D224" s="1">
        <v>21123</v>
      </c>
      <c r="E224" s="1">
        <v>14044.94867</v>
      </c>
      <c r="F224" s="1">
        <v>4768.372617</v>
      </c>
      <c r="G224" s="1">
        <v>8545.8004110000002</v>
      </c>
      <c r="H224" s="1">
        <v>504.83625819999997</v>
      </c>
      <c r="I224" s="1"/>
      <c r="J224" s="1"/>
      <c r="K224" s="1"/>
      <c r="L224" s="1">
        <v>46.020136800000003</v>
      </c>
      <c r="M224" s="1">
        <v>41.730864959999998</v>
      </c>
      <c r="N224" s="1">
        <v>245.3202407</v>
      </c>
      <c r="O224" s="1">
        <v>519.86899129999995</v>
      </c>
      <c r="P224" s="1">
        <v>78.690646279999996</v>
      </c>
      <c r="Q224" s="1"/>
      <c r="R224" s="1"/>
      <c r="S224" s="1"/>
      <c r="T224" s="1">
        <v>79.753829580000001</v>
      </c>
      <c r="U224" s="1">
        <v>12528.727699999999</v>
      </c>
      <c r="V224" s="1">
        <v>3229.1705630000001</v>
      </c>
      <c r="W224" s="1"/>
      <c r="X224" s="1"/>
      <c r="Y224" s="1"/>
      <c r="Z224" s="1"/>
      <c r="AA224" s="1">
        <v>2890.7373560000001</v>
      </c>
      <c r="AB224" s="1">
        <v>401.27614260000001</v>
      </c>
      <c r="AC224" s="1">
        <v>62.951654429999998</v>
      </c>
      <c r="AD224" s="1">
        <v>5746.1307509999997</v>
      </c>
      <c r="AE224" s="1"/>
      <c r="AF224" s="1">
        <v>105337.955</v>
      </c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>
      <c r="A225" s="1">
        <v>2014</v>
      </c>
      <c r="B225" s="1" t="s">
        <v>82</v>
      </c>
      <c r="C225" s="1" t="s">
        <v>95</v>
      </c>
      <c r="D225" s="1">
        <v>17166</v>
      </c>
      <c r="E225" s="1">
        <v>17710.66964</v>
      </c>
      <c r="F225" s="1">
        <v>8202.2879520000006</v>
      </c>
      <c r="G225" s="1">
        <v>16635.15091</v>
      </c>
      <c r="H225" s="1">
        <v>443.46337490000002</v>
      </c>
      <c r="I225" s="1"/>
      <c r="J225" s="1"/>
      <c r="K225" s="1"/>
      <c r="L225" s="1">
        <v>37.484630639999999</v>
      </c>
      <c r="M225" s="1">
        <v>33.60158105</v>
      </c>
      <c r="N225" s="1">
        <v>226.10552569999999</v>
      </c>
      <c r="O225" s="1">
        <v>1065.954817</v>
      </c>
      <c r="P225" s="1">
        <v>86.122112979999997</v>
      </c>
      <c r="Q225" s="1"/>
      <c r="R225" s="1"/>
      <c r="S225" s="1"/>
      <c r="T225" s="1">
        <v>73.099736669999999</v>
      </c>
      <c r="U225" s="1">
        <v>15744.83786</v>
      </c>
      <c r="V225" s="1">
        <v>4148.2015929999998</v>
      </c>
      <c r="W225" s="1"/>
      <c r="X225" s="1"/>
      <c r="Y225" s="1"/>
      <c r="Z225" s="1"/>
      <c r="AA225" s="1">
        <v>3663.7993040000001</v>
      </c>
      <c r="AB225" s="1">
        <v>558.15708189999998</v>
      </c>
      <c r="AC225" s="1">
        <v>73.754792280000004</v>
      </c>
      <c r="AD225" s="1">
        <v>8437.7781639999994</v>
      </c>
      <c r="AE225" s="1"/>
      <c r="AF225" s="1">
        <v>181279.7849</v>
      </c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>
      <c r="A226" s="1">
        <v>2014</v>
      </c>
      <c r="B226" s="1" t="s">
        <v>82</v>
      </c>
      <c r="C226" s="1" t="s">
        <v>96</v>
      </c>
      <c r="D226" s="1">
        <v>2961</v>
      </c>
      <c r="E226" s="1">
        <v>5801.3717370000004</v>
      </c>
      <c r="F226" s="1">
        <v>2613.1684759999998</v>
      </c>
      <c r="G226" s="1">
        <v>11253.17481</v>
      </c>
      <c r="H226" s="1">
        <v>107.21381580000001</v>
      </c>
      <c r="I226" s="1"/>
      <c r="J226" s="1"/>
      <c r="K226" s="1"/>
      <c r="L226" s="1">
        <v>6.7304989199999996</v>
      </c>
      <c r="M226" s="1">
        <v>6.0513462799999997</v>
      </c>
      <c r="N226" s="1">
        <v>48.006197700000001</v>
      </c>
      <c r="O226" s="1">
        <v>641.75729509999996</v>
      </c>
      <c r="P226" s="1">
        <v>21.547809749999999</v>
      </c>
      <c r="Q226" s="1"/>
      <c r="R226" s="1"/>
      <c r="S226" s="1"/>
      <c r="T226" s="1">
        <v>11.338955459999999</v>
      </c>
      <c r="U226" s="1">
        <v>4958.7258179999999</v>
      </c>
      <c r="V226" s="1">
        <v>1329.342353</v>
      </c>
      <c r="W226" s="1"/>
      <c r="X226" s="1"/>
      <c r="Y226" s="1"/>
      <c r="Z226" s="1"/>
      <c r="AA226" s="1">
        <v>1146.5708669999999</v>
      </c>
      <c r="AB226" s="1">
        <v>203.8054846</v>
      </c>
      <c r="AC226" s="1">
        <v>21.033998950000001</v>
      </c>
      <c r="AD226" s="1">
        <v>2516.4398639999999</v>
      </c>
      <c r="AE226" s="1"/>
      <c r="AF226" s="1">
        <v>72906.444690000004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>
      <c r="A227" s="1">
        <v>2014</v>
      </c>
      <c r="B227" s="1" t="s">
        <v>82</v>
      </c>
      <c r="C227" s="1" t="s">
        <v>97</v>
      </c>
      <c r="D227" s="1">
        <v>1101</v>
      </c>
      <c r="E227" s="1">
        <v>3194.7120089999999</v>
      </c>
      <c r="F227" s="1">
        <v>1684.8251829999999</v>
      </c>
      <c r="G227" s="1">
        <v>2662.7061530000001</v>
      </c>
      <c r="H227" s="1">
        <v>55.872567750000002</v>
      </c>
      <c r="I227" s="1"/>
      <c r="J227" s="1"/>
      <c r="K227" s="1"/>
      <c r="L227" s="1">
        <v>2.53175448</v>
      </c>
      <c r="M227" s="1">
        <v>2.25220625</v>
      </c>
      <c r="N227" s="1">
        <v>20.186043990000002</v>
      </c>
      <c r="O227" s="1">
        <v>462.8859587</v>
      </c>
      <c r="P227" s="1">
        <v>8.3776103099999997</v>
      </c>
      <c r="Q227" s="1"/>
      <c r="R227" s="1"/>
      <c r="S227" s="1"/>
      <c r="T227" s="1">
        <v>3.5732002500000002</v>
      </c>
      <c r="U227" s="1">
        <v>2639.0326669999999</v>
      </c>
      <c r="V227" s="1">
        <v>712.17726589999995</v>
      </c>
      <c r="W227" s="1"/>
      <c r="X227" s="1"/>
      <c r="Y227" s="1"/>
      <c r="Z227" s="1"/>
      <c r="AA227" s="1">
        <v>626.2692065</v>
      </c>
      <c r="AB227" s="1">
        <v>97.003908809999999</v>
      </c>
      <c r="AC227" s="1">
        <v>11.095849429999999</v>
      </c>
      <c r="AD227" s="1">
        <v>1900.5295980000001</v>
      </c>
      <c r="AE227" s="1"/>
      <c r="AF227" s="1">
        <v>36432.486299999997</v>
      </c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>
      <c r="A228" s="1">
        <v>2014</v>
      </c>
      <c r="B228" s="1" t="s">
        <v>82</v>
      </c>
      <c r="C228" s="1" t="s">
        <v>98</v>
      </c>
      <c r="D228" s="1">
        <v>1834</v>
      </c>
      <c r="E228" s="1">
        <v>13343.854240000001</v>
      </c>
      <c r="F228" s="1">
        <v>4960.3477279999997</v>
      </c>
      <c r="G228" s="1">
        <v>9855.5995920000005</v>
      </c>
      <c r="H228" s="1">
        <v>230.1923783</v>
      </c>
      <c r="I228" s="1"/>
      <c r="J228" s="1"/>
      <c r="K228" s="1"/>
      <c r="L228" s="1">
        <v>4.7076831600000002</v>
      </c>
      <c r="M228" s="1">
        <v>4.0418631700000001</v>
      </c>
      <c r="N228" s="1">
        <v>43.249540719999999</v>
      </c>
      <c r="O228" s="1">
        <v>2239.6773309999999</v>
      </c>
      <c r="P228" s="1">
        <v>31.352595090000001</v>
      </c>
      <c r="Q228" s="1"/>
      <c r="R228" s="1"/>
      <c r="S228" s="1"/>
      <c r="T228" s="1">
        <v>4.4466492000000004</v>
      </c>
      <c r="U228" s="1">
        <v>10786.1862</v>
      </c>
      <c r="V228" s="1">
        <v>2927.9776619999998</v>
      </c>
      <c r="W228" s="1"/>
      <c r="X228" s="1"/>
      <c r="Y228" s="1"/>
      <c r="Z228" s="1"/>
      <c r="AA228" s="1">
        <v>2543.6487659999998</v>
      </c>
      <c r="AB228" s="1">
        <v>441.43188950000001</v>
      </c>
      <c r="AC228" s="1">
        <v>57.10299371</v>
      </c>
      <c r="AD228" s="1">
        <v>5647.2472889999999</v>
      </c>
      <c r="AE228" s="1"/>
      <c r="AF228" s="1">
        <v>118111.8195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>
      <c r="A229" s="1">
        <v>2013</v>
      </c>
      <c r="B229" s="1" t="s">
        <v>82</v>
      </c>
      <c r="C229" s="1" t="s">
        <v>99</v>
      </c>
      <c r="D229" s="1">
        <v>2252037</v>
      </c>
      <c r="E229" s="1">
        <v>3587.2526269999998</v>
      </c>
      <c r="F229" s="1">
        <v>17920.6934</v>
      </c>
      <c r="G229" s="1">
        <v>98202.332630000004</v>
      </c>
      <c r="H229" s="1">
        <v>3536.2534690000002</v>
      </c>
      <c r="I229" s="1"/>
      <c r="J229" s="1"/>
      <c r="K229" s="1"/>
      <c r="L229" s="1">
        <v>855.44894380000005</v>
      </c>
      <c r="M229" s="1">
        <v>236.7075792</v>
      </c>
      <c r="N229" s="1">
        <v>3153.3084100000001</v>
      </c>
      <c r="O229" s="1">
        <v>198.63662690000001</v>
      </c>
      <c r="P229" s="1">
        <v>1057.854945</v>
      </c>
      <c r="Q229" s="1"/>
      <c r="R229" s="1"/>
      <c r="S229" s="1"/>
      <c r="T229" s="1">
        <v>119.8856545</v>
      </c>
      <c r="U229" s="1">
        <v>862.30833810000001</v>
      </c>
      <c r="V229" s="1">
        <v>47.914817849999999</v>
      </c>
      <c r="W229" s="1"/>
      <c r="X229" s="1"/>
      <c r="Y229" s="1"/>
      <c r="Z229" s="1"/>
      <c r="AA229" s="1">
        <v>300.77586400000001</v>
      </c>
      <c r="AB229" s="1">
        <v>5.0662607199999998</v>
      </c>
      <c r="AC229" s="1">
        <v>258.65823390000003</v>
      </c>
      <c r="AD229" s="1">
        <v>75876.342610000007</v>
      </c>
      <c r="AE229" s="1"/>
      <c r="AF229" s="1">
        <v>605466.88230000006</v>
      </c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>
      <c r="A230" s="1">
        <v>2013</v>
      </c>
      <c r="B230" s="1" t="s">
        <v>82</v>
      </c>
      <c r="C230" s="1" t="s">
        <v>100</v>
      </c>
      <c r="D230" s="1">
        <v>1203052</v>
      </c>
      <c r="E230" s="1">
        <v>10574.269910000001</v>
      </c>
      <c r="F230" s="1">
        <v>4047.2265499999999</v>
      </c>
      <c r="G230" s="1">
        <v>43816.903729999998</v>
      </c>
      <c r="H230" s="1">
        <v>300.55455080000002</v>
      </c>
      <c r="I230" s="1"/>
      <c r="J230" s="1"/>
      <c r="K230" s="1"/>
      <c r="L230" s="1">
        <v>324.25149859999999</v>
      </c>
      <c r="M230" s="1">
        <v>91.128768370000003</v>
      </c>
      <c r="N230" s="1">
        <v>469.66667150000001</v>
      </c>
      <c r="O230" s="1">
        <v>106.0768085</v>
      </c>
      <c r="P230" s="1">
        <v>116.48515310000001</v>
      </c>
      <c r="Q230" s="1"/>
      <c r="R230" s="1"/>
      <c r="S230" s="1"/>
      <c r="T230" s="1">
        <v>1300.570187</v>
      </c>
      <c r="U230" s="1">
        <v>7865.5627009999998</v>
      </c>
      <c r="V230" s="1">
        <v>10.563555259999999</v>
      </c>
      <c r="W230" s="1"/>
      <c r="X230" s="1"/>
      <c r="Y230" s="1"/>
      <c r="Z230" s="1"/>
      <c r="AA230" s="1">
        <v>79.159643590000002</v>
      </c>
      <c r="AB230" s="1">
        <v>0.90677558999999996</v>
      </c>
      <c r="AC230" s="1">
        <v>69.885165860000001</v>
      </c>
      <c r="AD230" s="1">
        <v>16078.122139999999</v>
      </c>
      <c r="AE230" s="1"/>
      <c r="AF230" s="1">
        <v>196634.97990000001</v>
      </c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>
      <c r="A231" s="1">
        <v>2013</v>
      </c>
      <c r="B231" s="1" t="s">
        <v>82</v>
      </c>
      <c r="C231" s="1" t="s">
        <v>101</v>
      </c>
      <c r="D231" s="1">
        <v>2669376</v>
      </c>
      <c r="E231" s="1">
        <v>46938.67555</v>
      </c>
      <c r="F231" s="1">
        <v>8512.4120910000001</v>
      </c>
      <c r="G231" s="1">
        <v>57941.737029999997</v>
      </c>
      <c r="H231" s="1">
        <v>1310.271555</v>
      </c>
      <c r="I231" s="1"/>
      <c r="J231" s="1"/>
      <c r="K231" s="1"/>
      <c r="L231" s="1">
        <v>1736.260023</v>
      </c>
      <c r="M231" s="1">
        <v>538.0502626</v>
      </c>
      <c r="N231" s="1">
        <v>1725.662765</v>
      </c>
      <c r="O231" s="1">
        <v>425.90752689999999</v>
      </c>
      <c r="P231" s="1">
        <v>549.98883739999997</v>
      </c>
      <c r="Q231" s="1"/>
      <c r="R231" s="1"/>
      <c r="S231" s="1"/>
      <c r="T231" s="1">
        <v>5671.0940790000004</v>
      </c>
      <c r="U231" s="1">
        <v>34981.589090000001</v>
      </c>
      <c r="V231" s="1">
        <v>17.718441899999998</v>
      </c>
      <c r="W231" s="1"/>
      <c r="X231" s="1"/>
      <c r="Y231" s="1"/>
      <c r="Z231" s="1"/>
      <c r="AA231" s="1">
        <v>367.34686699999997</v>
      </c>
      <c r="AB231" s="1">
        <v>2.0069925500000001</v>
      </c>
      <c r="AC231" s="1">
        <v>353.82508899999999</v>
      </c>
      <c r="AD231" s="1">
        <v>26234.77419</v>
      </c>
      <c r="AE231" s="1"/>
      <c r="AF231" s="1">
        <v>423181.79259999999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>
      <c r="A232" s="1">
        <v>2013</v>
      </c>
      <c r="B232" s="1" t="s">
        <v>82</v>
      </c>
      <c r="C232" s="1" t="s">
        <v>102</v>
      </c>
      <c r="D232" s="1">
        <v>8255187</v>
      </c>
      <c r="E232" s="1">
        <v>226992.43239999999</v>
      </c>
      <c r="F232" s="1">
        <v>21544.57504</v>
      </c>
      <c r="G232" s="1">
        <v>82246.01857</v>
      </c>
      <c r="H232" s="1">
        <v>7610.0716839999995</v>
      </c>
      <c r="I232" s="1"/>
      <c r="J232" s="1"/>
      <c r="K232" s="1"/>
      <c r="L232" s="1">
        <v>8442.7206320000005</v>
      </c>
      <c r="M232" s="1">
        <v>3754.9018540000002</v>
      </c>
      <c r="N232" s="1">
        <v>6901.2251219999998</v>
      </c>
      <c r="O232" s="1">
        <v>2403.8723890000001</v>
      </c>
      <c r="P232" s="1">
        <v>1691.227267</v>
      </c>
      <c r="Q232" s="1"/>
      <c r="R232" s="1"/>
      <c r="S232" s="1"/>
      <c r="T232" s="1">
        <v>27493.137559999999</v>
      </c>
      <c r="U232" s="1">
        <v>168697.31880000001</v>
      </c>
      <c r="V232" s="1">
        <v>467.00967350000002</v>
      </c>
      <c r="W232" s="1"/>
      <c r="X232" s="1"/>
      <c r="Y232" s="1"/>
      <c r="Z232" s="1"/>
      <c r="AA232" s="1">
        <v>2194.0401360000001</v>
      </c>
      <c r="AB232" s="1">
        <v>107.9013571</v>
      </c>
      <c r="AC232" s="1">
        <v>1848.8591329999999</v>
      </c>
      <c r="AD232" s="1">
        <v>66462.897419999994</v>
      </c>
      <c r="AE232" s="1"/>
      <c r="AF232" s="1">
        <v>754208.41269999999</v>
      </c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>
      <c r="A233" s="1">
        <v>2013</v>
      </c>
      <c r="B233" s="1" t="s">
        <v>82</v>
      </c>
      <c r="C233" s="1" t="s">
        <v>103</v>
      </c>
      <c r="D233" s="1">
        <v>5884156</v>
      </c>
      <c r="E233" s="1">
        <v>253207.38449999999</v>
      </c>
      <c r="F233" s="1">
        <v>29688.885010000002</v>
      </c>
      <c r="G233" s="1">
        <v>87324.877869999997</v>
      </c>
      <c r="H233" s="1">
        <v>11190.14731</v>
      </c>
      <c r="I233" s="1"/>
      <c r="J233" s="1"/>
      <c r="K233" s="1"/>
      <c r="L233" s="1">
        <v>8667.1786269999993</v>
      </c>
      <c r="M233" s="1">
        <v>5296.6711290000003</v>
      </c>
      <c r="N233" s="1">
        <v>10408.45289</v>
      </c>
      <c r="O233" s="1">
        <v>2206.011352</v>
      </c>
      <c r="P233" s="1">
        <v>2207.465201</v>
      </c>
      <c r="Q233" s="1"/>
      <c r="R233" s="1"/>
      <c r="S233" s="1"/>
      <c r="T233" s="1">
        <v>26924.006659999999</v>
      </c>
      <c r="U233" s="1">
        <v>186308.09899999999</v>
      </c>
      <c r="V233" s="1">
        <v>5969.7250819999999</v>
      </c>
      <c r="W233" s="1"/>
      <c r="X233" s="1"/>
      <c r="Y233" s="1"/>
      <c r="Z233" s="1"/>
      <c r="AA233" s="1">
        <v>8811.3088289999996</v>
      </c>
      <c r="AB233" s="1">
        <v>1212.538902</v>
      </c>
      <c r="AC233" s="1">
        <v>4135.2131300000001</v>
      </c>
      <c r="AD233" s="1">
        <v>79038.550029999999</v>
      </c>
      <c r="AE233" s="1"/>
      <c r="AF233" s="1">
        <v>755474.26870000002</v>
      </c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>
      <c r="A234" s="1">
        <v>2013</v>
      </c>
      <c r="B234" s="1" t="s">
        <v>82</v>
      </c>
      <c r="C234" s="1" t="s">
        <v>104</v>
      </c>
      <c r="D234" s="1">
        <v>3893185</v>
      </c>
      <c r="E234" s="1">
        <v>288555.06760000001</v>
      </c>
      <c r="F234" s="1">
        <v>37095.005899999996</v>
      </c>
      <c r="G234" s="1">
        <v>94024.521240000002</v>
      </c>
      <c r="H234" s="1">
        <v>11706.878199999999</v>
      </c>
      <c r="I234" s="1"/>
      <c r="J234" s="1"/>
      <c r="K234" s="1"/>
      <c r="L234" s="1">
        <v>5983.6872080000003</v>
      </c>
      <c r="M234" s="1">
        <v>5037.3161749999999</v>
      </c>
      <c r="N234" s="1">
        <v>11967.48911</v>
      </c>
      <c r="O234" s="1">
        <v>2441.2322159999999</v>
      </c>
      <c r="P234" s="1">
        <v>2872.6022109999999</v>
      </c>
      <c r="Q234" s="1"/>
      <c r="R234" s="1"/>
      <c r="S234" s="1"/>
      <c r="T234" s="1">
        <v>29941.644690000001</v>
      </c>
      <c r="U234" s="1">
        <v>218604.85870000001</v>
      </c>
      <c r="V234" s="1">
        <v>23588.155599999998</v>
      </c>
      <c r="W234" s="1"/>
      <c r="X234" s="1"/>
      <c r="Y234" s="1"/>
      <c r="Z234" s="1"/>
      <c r="AA234" s="1">
        <v>24926.222170000001</v>
      </c>
      <c r="AB234" s="1">
        <v>3940.8139139999998</v>
      </c>
      <c r="AC234" s="1">
        <v>5522.5814680000003</v>
      </c>
      <c r="AD234" s="1">
        <v>91242.091440000004</v>
      </c>
      <c r="AE234" s="1"/>
      <c r="AF234" s="1">
        <v>939826.07940000005</v>
      </c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>
      <c r="A235" s="1">
        <v>2013</v>
      </c>
      <c r="B235" s="1" t="s">
        <v>82</v>
      </c>
      <c r="C235" s="1" t="s">
        <v>105</v>
      </c>
      <c r="D235" s="1">
        <v>1613840</v>
      </c>
      <c r="E235" s="1">
        <v>223549.11249999999</v>
      </c>
      <c r="F235" s="1">
        <v>32796.324079999999</v>
      </c>
      <c r="G235" s="1">
        <v>67919.494900000005</v>
      </c>
      <c r="H235" s="1">
        <v>12876.320739999999</v>
      </c>
      <c r="I235" s="1"/>
      <c r="J235" s="1"/>
      <c r="K235" s="1"/>
      <c r="L235" s="1">
        <v>2937.343903</v>
      </c>
      <c r="M235" s="1">
        <v>2685.7959980000001</v>
      </c>
      <c r="N235" s="1">
        <v>9367.2795330000008</v>
      </c>
      <c r="O235" s="1">
        <v>1980.8874780000001</v>
      </c>
      <c r="P235" s="1">
        <v>2490.3026369999998</v>
      </c>
      <c r="Q235" s="1"/>
      <c r="R235" s="1"/>
      <c r="S235" s="1"/>
      <c r="T235" s="1">
        <v>9017.1819529999993</v>
      </c>
      <c r="U235" s="1">
        <v>182194.44990000001</v>
      </c>
      <c r="V235" s="1">
        <v>34718.184359999999</v>
      </c>
      <c r="W235" s="1"/>
      <c r="X235" s="1"/>
      <c r="Y235" s="1"/>
      <c r="Z235" s="1"/>
      <c r="AA235" s="1">
        <v>33238.414649999999</v>
      </c>
      <c r="AB235" s="1">
        <v>3912.3381599999998</v>
      </c>
      <c r="AC235" s="1">
        <v>2680.7174479999999</v>
      </c>
      <c r="AD235" s="1">
        <v>70651.328089999995</v>
      </c>
      <c r="AE235" s="1"/>
      <c r="AF235" s="1">
        <v>798818.97080000001</v>
      </c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>
      <c r="A236" s="1">
        <v>2013</v>
      </c>
      <c r="B236" s="1" t="s">
        <v>82</v>
      </c>
      <c r="C236" s="1" t="s">
        <v>106</v>
      </c>
      <c r="D236" s="1">
        <v>607180</v>
      </c>
      <c r="E236" s="1">
        <v>158131.3376</v>
      </c>
      <c r="F236" s="1">
        <v>26045.707149999998</v>
      </c>
      <c r="G236" s="1">
        <v>50930.372719999999</v>
      </c>
      <c r="H236" s="1">
        <v>11024.657569999999</v>
      </c>
      <c r="I236" s="1"/>
      <c r="J236" s="1"/>
      <c r="K236" s="1"/>
      <c r="L236" s="1">
        <v>1190.6893250000001</v>
      </c>
      <c r="M236" s="1">
        <v>1081.718147</v>
      </c>
      <c r="N236" s="1">
        <v>5727.335024</v>
      </c>
      <c r="O236" s="1">
        <v>2027.443972</v>
      </c>
      <c r="P236" s="1">
        <v>1499.9387650000001</v>
      </c>
      <c r="Q236" s="1"/>
      <c r="R236" s="1"/>
      <c r="S236" s="1"/>
      <c r="T236" s="1">
        <v>1551.800857</v>
      </c>
      <c r="U236" s="1">
        <v>134029.8928</v>
      </c>
      <c r="V236" s="1">
        <v>31058.391940000001</v>
      </c>
      <c r="W236" s="1"/>
      <c r="X236" s="1"/>
      <c r="Y236" s="1"/>
      <c r="Z236" s="1"/>
      <c r="AA236" s="1">
        <v>29239.358919999999</v>
      </c>
      <c r="AB236" s="1">
        <v>2883.2164720000001</v>
      </c>
      <c r="AC236" s="1">
        <v>1278.3243399999999</v>
      </c>
      <c r="AD236" s="1">
        <v>47970.85153</v>
      </c>
      <c r="AE236" s="1"/>
      <c r="AF236" s="1">
        <v>677991.36029999994</v>
      </c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>
      <c r="A237" s="1">
        <v>2013</v>
      </c>
      <c r="B237" s="1" t="s">
        <v>82</v>
      </c>
      <c r="C237" s="1" t="s">
        <v>107</v>
      </c>
      <c r="D237" s="1">
        <v>94830</v>
      </c>
      <c r="E237" s="1">
        <v>45796.85572</v>
      </c>
      <c r="F237" s="1">
        <v>12815.541569999999</v>
      </c>
      <c r="G237" s="1">
        <v>23175.412110000001</v>
      </c>
      <c r="H237" s="1">
        <v>2068.1910680000001</v>
      </c>
      <c r="I237" s="1"/>
      <c r="J237" s="1"/>
      <c r="K237" s="1"/>
      <c r="L237" s="1">
        <v>199.5890699</v>
      </c>
      <c r="M237" s="1">
        <v>181.03205389999999</v>
      </c>
      <c r="N237" s="1">
        <v>995.82070290000001</v>
      </c>
      <c r="O237" s="1">
        <v>1304.325877</v>
      </c>
      <c r="P237" s="1">
        <v>317.68240079999998</v>
      </c>
      <c r="Q237" s="1"/>
      <c r="R237" s="1"/>
      <c r="S237" s="1"/>
      <c r="T237" s="1">
        <v>288.737303</v>
      </c>
      <c r="U237" s="1">
        <v>40441.47724</v>
      </c>
      <c r="V237" s="1">
        <v>10202.51318</v>
      </c>
      <c r="W237" s="1"/>
      <c r="X237" s="1"/>
      <c r="Y237" s="1"/>
      <c r="Z237" s="1"/>
      <c r="AA237" s="1">
        <v>8849.0983329999999</v>
      </c>
      <c r="AB237" s="1">
        <v>1257.703945</v>
      </c>
      <c r="AC237" s="1">
        <v>214.02898110000001</v>
      </c>
      <c r="AD237" s="1">
        <v>18671.261579999999</v>
      </c>
      <c r="AE237" s="1"/>
      <c r="AF237" s="1">
        <v>303253.6814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>
      <c r="A238" s="1">
        <v>2013</v>
      </c>
      <c r="B238" s="1" t="s">
        <v>82</v>
      </c>
      <c r="C238" s="1" t="s">
        <v>108</v>
      </c>
      <c r="D238" s="1">
        <v>15984</v>
      </c>
      <c r="E238" s="1">
        <v>15633.71307</v>
      </c>
      <c r="F238" s="1">
        <v>7297.7271689999998</v>
      </c>
      <c r="G238" s="1">
        <v>12646.38761</v>
      </c>
      <c r="H238" s="1">
        <v>389.1148498</v>
      </c>
      <c r="I238" s="1"/>
      <c r="J238" s="1"/>
      <c r="K238" s="1"/>
      <c r="L238" s="1">
        <v>34.885834199999998</v>
      </c>
      <c r="M238" s="1">
        <v>30.471682019999999</v>
      </c>
      <c r="N238" s="1">
        <v>200.90917239999999</v>
      </c>
      <c r="O238" s="1">
        <v>925.63860550000004</v>
      </c>
      <c r="P238" s="1">
        <v>77.707548070000001</v>
      </c>
      <c r="Q238" s="1"/>
      <c r="R238" s="1"/>
      <c r="S238" s="1"/>
      <c r="T238" s="1">
        <v>61.859479790000002</v>
      </c>
      <c r="U238" s="1">
        <v>13913.125889999999</v>
      </c>
      <c r="V238" s="1">
        <v>3665.0209329999998</v>
      </c>
      <c r="W238" s="1"/>
      <c r="X238" s="1"/>
      <c r="Y238" s="1"/>
      <c r="Z238" s="1"/>
      <c r="AA238" s="1">
        <v>3067.5118109999999</v>
      </c>
      <c r="AB238" s="1">
        <v>500.3140032</v>
      </c>
      <c r="AC238" s="1">
        <v>66.852631950000003</v>
      </c>
      <c r="AD238" s="1">
        <v>7161.2049630000001</v>
      </c>
      <c r="AE238" s="1"/>
      <c r="AF238" s="1">
        <v>165923.21230000001</v>
      </c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>
      <c r="A239" s="1">
        <v>2013</v>
      </c>
      <c r="B239" s="1" t="s">
        <v>82</v>
      </c>
      <c r="C239" s="1" t="s">
        <v>109</v>
      </c>
      <c r="D239" s="1">
        <v>5589</v>
      </c>
      <c r="E239" s="1">
        <v>20239.20016</v>
      </c>
      <c r="F239" s="1">
        <v>9597.3509150000009</v>
      </c>
      <c r="G239" s="1">
        <v>13943.203299999999</v>
      </c>
      <c r="H239" s="1">
        <v>350.51730070000002</v>
      </c>
      <c r="I239" s="1"/>
      <c r="J239" s="1"/>
      <c r="K239" s="1"/>
      <c r="L239" s="1">
        <v>13.075223039999999</v>
      </c>
      <c r="M239" s="1">
        <v>10.91104443</v>
      </c>
      <c r="N239" s="1">
        <v>102.5493156</v>
      </c>
      <c r="O239" s="1">
        <v>3070.373654</v>
      </c>
      <c r="P239" s="1">
        <v>62.650945270000001</v>
      </c>
      <c r="Q239" s="1"/>
      <c r="R239" s="1"/>
      <c r="S239" s="1"/>
      <c r="T239" s="1">
        <v>15.850516710000001</v>
      </c>
      <c r="U239" s="1">
        <v>16613.27216</v>
      </c>
      <c r="V239" s="1">
        <v>4487.1914420000003</v>
      </c>
      <c r="W239" s="1"/>
      <c r="X239" s="1"/>
      <c r="Y239" s="1"/>
      <c r="Z239" s="1"/>
      <c r="AA239" s="1">
        <v>3729.1478929999998</v>
      </c>
      <c r="AB239" s="1">
        <v>740.27070509999999</v>
      </c>
      <c r="AC239" s="1">
        <v>74.582878309999998</v>
      </c>
      <c r="AD239" s="1">
        <v>9511.0254850000001</v>
      </c>
      <c r="AE239" s="1"/>
      <c r="AF239" s="1">
        <v>204698.05859999999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>
      <c r="A240" s="1">
        <v>2012</v>
      </c>
      <c r="B240" s="1" t="s">
        <v>82</v>
      </c>
      <c r="C240" s="1" t="s">
        <v>99</v>
      </c>
      <c r="D240" s="1">
        <v>2304850</v>
      </c>
      <c r="E240" s="1">
        <v>2878.232575</v>
      </c>
      <c r="F240" s="1">
        <v>17135.224180000001</v>
      </c>
      <c r="G240" s="1">
        <v>86550.987670000002</v>
      </c>
      <c r="H240" s="1">
        <v>2011.3660890000001</v>
      </c>
      <c r="I240" s="1"/>
      <c r="J240" s="1"/>
      <c r="K240" s="1"/>
      <c r="L240" s="1">
        <v>745.86951650000003</v>
      </c>
      <c r="M240" s="1">
        <v>198.9272675</v>
      </c>
      <c r="N240" s="1">
        <v>2226.0463709999999</v>
      </c>
      <c r="O240" s="1">
        <v>159.73172589999999</v>
      </c>
      <c r="P240" s="1">
        <v>897.21546160000003</v>
      </c>
      <c r="Q240" s="1"/>
      <c r="R240" s="1"/>
      <c r="S240" s="1"/>
      <c r="T240" s="1">
        <v>95.316552150000007</v>
      </c>
      <c r="U240" s="1">
        <v>696.17178980000006</v>
      </c>
      <c r="V240" s="1">
        <v>48.103304999999999</v>
      </c>
      <c r="W240" s="1"/>
      <c r="X240" s="1"/>
      <c r="Y240" s="1"/>
      <c r="Z240" s="1"/>
      <c r="AA240" s="1">
        <v>350.39423160000001</v>
      </c>
      <c r="AB240" s="1">
        <v>5.7375940600000002</v>
      </c>
      <c r="AC240" s="1">
        <v>308.41427370000002</v>
      </c>
      <c r="AD240" s="1">
        <v>40768.162920000002</v>
      </c>
      <c r="AE240" s="1"/>
      <c r="AF240" s="1">
        <v>520990.12430000002</v>
      </c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>
      <c r="A241" s="1">
        <v>2012</v>
      </c>
      <c r="B241" s="1" t="s">
        <v>82</v>
      </c>
      <c r="C241" s="1" t="s">
        <v>100</v>
      </c>
      <c r="D241" s="1">
        <v>1135097</v>
      </c>
      <c r="E241" s="1">
        <v>9021.6648619999996</v>
      </c>
      <c r="F241" s="1">
        <v>4083.4322889999999</v>
      </c>
      <c r="G241" s="1">
        <v>37097.192569999999</v>
      </c>
      <c r="H241" s="1">
        <v>250.15403810000001</v>
      </c>
      <c r="I241" s="1"/>
      <c r="J241" s="1"/>
      <c r="K241" s="1"/>
      <c r="L241" s="1">
        <v>276.96435359999998</v>
      </c>
      <c r="M241" s="1">
        <v>71.125007289999999</v>
      </c>
      <c r="N241" s="1">
        <v>354.7577872</v>
      </c>
      <c r="O241" s="1">
        <v>89.023198100000002</v>
      </c>
      <c r="P241" s="1">
        <v>94.595274880000005</v>
      </c>
      <c r="Q241" s="1"/>
      <c r="R241" s="1"/>
      <c r="S241" s="1"/>
      <c r="T241" s="1">
        <v>1115.7096039999999</v>
      </c>
      <c r="U241" s="1">
        <v>6769.3433910000003</v>
      </c>
      <c r="V241" s="1">
        <v>7.5703854499999998</v>
      </c>
      <c r="W241" s="1"/>
      <c r="X241" s="1"/>
      <c r="Y241" s="1"/>
      <c r="Z241" s="1"/>
      <c r="AA241" s="1">
        <v>67.177014229999997</v>
      </c>
      <c r="AB241" s="1">
        <v>0.70075578999999999</v>
      </c>
      <c r="AC241" s="1">
        <v>60.653594490000003</v>
      </c>
      <c r="AD241" s="1">
        <v>12566.887070000001</v>
      </c>
      <c r="AE241" s="1"/>
      <c r="AF241" s="1">
        <v>159734.10930000001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>
      <c r="A242" s="1">
        <v>2012</v>
      </c>
      <c r="B242" s="1" t="s">
        <v>82</v>
      </c>
      <c r="C242" s="1" t="s">
        <v>101</v>
      </c>
      <c r="D242" s="1">
        <v>2303448</v>
      </c>
      <c r="E242" s="1">
        <v>36047.275509999999</v>
      </c>
      <c r="F242" s="1">
        <v>7082.0980870000003</v>
      </c>
      <c r="G242" s="1">
        <v>47931.1201</v>
      </c>
      <c r="H242" s="1">
        <v>935.48161860000005</v>
      </c>
      <c r="I242" s="1"/>
      <c r="J242" s="1"/>
      <c r="K242" s="1"/>
      <c r="L242" s="1">
        <v>1309.2788539999999</v>
      </c>
      <c r="M242" s="1">
        <v>377.61554660000002</v>
      </c>
      <c r="N242" s="1">
        <v>1257.303645</v>
      </c>
      <c r="O242" s="1">
        <v>341.3282509</v>
      </c>
      <c r="P242" s="1">
        <v>422.80805850000002</v>
      </c>
      <c r="Q242" s="1"/>
      <c r="R242" s="1"/>
      <c r="S242" s="1"/>
      <c r="T242" s="1">
        <v>4351.9693340000003</v>
      </c>
      <c r="U242" s="1">
        <v>27051.498100000001</v>
      </c>
      <c r="V242" s="1">
        <v>16.95984091</v>
      </c>
      <c r="W242" s="1"/>
      <c r="X242" s="1"/>
      <c r="Y242" s="1"/>
      <c r="Z242" s="1"/>
      <c r="AA242" s="1">
        <v>287.64575450000001</v>
      </c>
      <c r="AB242" s="1">
        <v>2.4210181300000002</v>
      </c>
      <c r="AC242" s="1">
        <v>274.75614230000002</v>
      </c>
      <c r="AD242" s="1">
        <v>20605.034080000001</v>
      </c>
      <c r="AE242" s="1"/>
      <c r="AF242" s="1">
        <v>279295.08669999999</v>
      </c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>
      <c r="A243" s="1">
        <v>2012</v>
      </c>
      <c r="B243" s="1" t="s">
        <v>82</v>
      </c>
      <c r="C243" s="1" t="s">
        <v>102</v>
      </c>
      <c r="D243" s="1">
        <v>7810867</v>
      </c>
      <c r="E243" s="1">
        <v>197634.26620000001</v>
      </c>
      <c r="F243" s="1">
        <v>15724.313389999999</v>
      </c>
      <c r="G243" s="1">
        <v>72504.792419999998</v>
      </c>
      <c r="H243" s="1">
        <v>6014.0344249999998</v>
      </c>
      <c r="I243" s="1"/>
      <c r="J243" s="1"/>
      <c r="K243" s="1"/>
      <c r="L243" s="1">
        <v>7292.034721</v>
      </c>
      <c r="M243" s="1">
        <v>3027.4694530000002</v>
      </c>
      <c r="N243" s="1">
        <v>5592.6672570000001</v>
      </c>
      <c r="O243" s="1">
        <v>2013.509935</v>
      </c>
      <c r="P243" s="1">
        <v>1447.8677929999999</v>
      </c>
      <c r="Q243" s="1"/>
      <c r="R243" s="1"/>
      <c r="S243" s="1"/>
      <c r="T243" s="1">
        <v>24509.206590000002</v>
      </c>
      <c r="U243" s="1">
        <v>147737.51860000001</v>
      </c>
      <c r="V243" s="1">
        <v>229.74337109999999</v>
      </c>
      <c r="W243" s="1"/>
      <c r="X243" s="1"/>
      <c r="Y243" s="1"/>
      <c r="Z243" s="1"/>
      <c r="AA243" s="1">
        <v>1642.1497059999999</v>
      </c>
      <c r="AB243" s="1">
        <v>55.233045449999999</v>
      </c>
      <c r="AC243" s="1">
        <v>1478.4893959999999</v>
      </c>
      <c r="AD243" s="1">
        <v>79156.276849999995</v>
      </c>
      <c r="AE243" s="1"/>
      <c r="AF243" s="1">
        <v>668834.62780000002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>
      <c r="A244" s="1">
        <v>2012</v>
      </c>
      <c r="B244" s="1" t="s">
        <v>82</v>
      </c>
      <c r="C244" s="1" t="s">
        <v>103</v>
      </c>
      <c r="D244" s="1">
        <v>5921821</v>
      </c>
      <c r="E244" s="1">
        <v>231647.2592</v>
      </c>
      <c r="F244" s="1">
        <v>23988.880430000001</v>
      </c>
      <c r="G244" s="1">
        <v>75257.880480000007</v>
      </c>
      <c r="H244" s="1">
        <v>10117.445900000001</v>
      </c>
      <c r="I244" s="1"/>
      <c r="J244" s="1"/>
      <c r="K244" s="1"/>
      <c r="L244" s="1">
        <v>8772.8515779999998</v>
      </c>
      <c r="M244" s="1">
        <v>5107.3566620000001</v>
      </c>
      <c r="N244" s="1">
        <v>9598.4846789999992</v>
      </c>
      <c r="O244" s="1">
        <v>2044.473452</v>
      </c>
      <c r="P244" s="1">
        <v>2000.409259</v>
      </c>
      <c r="Q244" s="1"/>
      <c r="R244" s="1"/>
      <c r="S244" s="1"/>
      <c r="T244" s="1">
        <v>24356.159159999999</v>
      </c>
      <c r="U244" s="1">
        <v>169650.2108</v>
      </c>
      <c r="V244" s="1">
        <v>4635.3952250000002</v>
      </c>
      <c r="W244" s="1"/>
      <c r="X244" s="1"/>
      <c r="Y244" s="1"/>
      <c r="Z244" s="1"/>
      <c r="AA244" s="1">
        <v>7130.6485149999999</v>
      </c>
      <c r="AB244" s="1">
        <v>970.42838329999995</v>
      </c>
      <c r="AC244" s="1">
        <v>3531.6505659999998</v>
      </c>
      <c r="AD244" s="1">
        <v>84081.046830000007</v>
      </c>
      <c r="AE244" s="1"/>
      <c r="AF244" s="1">
        <v>657529.45940000005</v>
      </c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>
      <c r="A245" s="1">
        <v>2012</v>
      </c>
      <c r="B245" s="1" t="s">
        <v>82</v>
      </c>
      <c r="C245" s="1" t="s">
        <v>104</v>
      </c>
      <c r="D245" s="1">
        <v>3954445</v>
      </c>
      <c r="E245" s="1">
        <v>266173.97840000002</v>
      </c>
      <c r="F245" s="1">
        <v>30289.871589999999</v>
      </c>
      <c r="G245" s="1">
        <v>87538.652249999999</v>
      </c>
      <c r="H245" s="1">
        <v>10606.485930000001</v>
      </c>
      <c r="I245" s="1"/>
      <c r="J245" s="1"/>
      <c r="K245" s="1"/>
      <c r="L245" s="1">
        <v>6055.3643460000003</v>
      </c>
      <c r="M245" s="1">
        <v>4998.3374709999998</v>
      </c>
      <c r="N245" s="1">
        <v>11111.465050000001</v>
      </c>
      <c r="O245" s="1">
        <v>2308.5680179999999</v>
      </c>
      <c r="P245" s="1">
        <v>2555.2355520000001</v>
      </c>
      <c r="Q245" s="1"/>
      <c r="R245" s="1"/>
      <c r="S245" s="1"/>
      <c r="T245" s="1">
        <v>28105.779399999999</v>
      </c>
      <c r="U245" s="1">
        <v>200441.35620000001</v>
      </c>
      <c r="V245" s="1">
        <v>19892.314869999998</v>
      </c>
      <c r="W245" s="1"/>
      <c r="X245" s="1"/>
      <c r="Y245" s="1"/>
      <c r="Z245" s="1"/>
      <c r="AA245" s="1">
        <v>20935.798320000002</v>
      </c>
      <c r="AB245" s="1">
        <v>3552.1158209999999</v>
      </c>
      <c r="AC245" s="1">
        <v>4821.7496300000003</v>
      </c>
      <c r="AD245" s="1">
        <v>80357.749530000001</v>
      </c>
      <c r="AE245" s="1"/>
      <c r="AF245" s="1">
        <v>832065.75989999995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>
      <c r="A246" s="1">
        <v>2012</v>
      </c>
      <c r="B246" s="1" t="s">
        <v>82</v>
      </c>
      <c r="C246" s="1" t="s">
        <v>105</v>
      </c>
      <c r="D246" s="1">
        <v>1643370</v>
      </c>
      <c r="E246" s="1">
        <v>208076.5264</v>
      </c>
      <c r="F246" s="1">
        <v>25858.026839999999</v>
      </c>
      <c r="G246" s="1">
        <v>60395.335019999999</v>
      </c>
      <c r="H246" s="1">
        <v>11390.395710000001</v>
      </c>
      <c r="I246" s="1"/>
      <c r="J246" s="1"/>
      <c r="K246" s="1"/>
      <c r="L246" s="1">
        <v>2984.7043669999998</v>
      </c>
      <c r="M246" s="1">
        <v>2762.9721570000002</v>
      </c>
      <c r="N246" s="1">
        <v>8707.338984</v>
      </c>
      <c r="O246" s="1">
        <v>1907.011201</v>
      </c>
      <c r="P246" s="1">
        <v>2365.5959870000002</v>
      </c>
      <c r="Q246" s="1"/>
      <c r="R246" s="1"/>
      <c r="S246" s="1"/>
      <c r="T246" s="1">
        <v>9295.3673940000008</v>
      </c>
      <c r="U246" s="1">
        <v>168663.29870000001</v>
      </c>
      <c r="V246" s="1">
        <v>31388.466659999998</v>
      </c>
      <c r="W246" s="1"/>
      <c r="X246" s="1"/>
      <c r="Y246" s="1"/>
      <c r="Z246" s="1"/>
      <c r="AA246" s="1">
        <v>29672.086299999999</v>
      </c>
      <c r="AB246" s="1">
        <v>3802.2957620000002</v>
      </c>
      <c r="AC246" s="1">
        <v>2316.184679</v>
      </c>
      <c r="AD246" s="1">
        <v>62327.664830000002</v>
      </c>
      <c r="AE246" s="1"/>
      <c r="AF246" s="1">
        <v>696345.27410000004</v>
      </c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>
      <c r="A247" s="1">
        <v>2012</v>
      </c>
      <c r="B247" s="1" t="s">
        <v>82</v>
      </c>
      <c r="C247" s="1" t="s">
        <v>106</v>
      </c>
      <c r="D247" s="1">
        <v>657984</v>
      </c>
      <c r="E247" s="1">
        <v>156444.785</v>
      </c>
      <c r="F247" s="1">
        <v>27288.32386</v>
      </c>
      <c r="G247" s="1">
        <v>48746.320729999999</v>
      </c>
      <c r="H247" s="1">
        <v>10613.30762</v>
      </c>
      <c r="I247" s="1"/>
      <c r="J247" s="1"/>
      <c r="K247" s="1"/>
      <c r="L247" s="1">
        <v>1290.05693</v>
      </c>
      <c r="M247" s="1">
        <v>1185.5333880000001</v>
      </c>
      <c r="N247" s="1">
        <v>5613.1721799999996</v>
      </c>
      <c r="O247" s="1">
        <v>1902.8601200000001</v>
      </c>
      <c r="P247" s="1">
        <v>1548.2435599999999</v>
      </c>
      <c r="Q247" s="1"/>
      <c r="R247" s="1"/>
      <c r="S247" s="1"/>
      <c r="T247" s="1">
        <v>1731.8438779999999</v>
      </c>
      <c r="U247" s="1">
        <v>132561.7861</v>
      </c>
      <c r="V247" s="1">
        <v>30467.21243</v>
      </c>
      <c r="W247" s="1"/>
      <c r="X247" s="1"/>
      <c r="Y247" s="1"/>
      <c r="Z247" s="1"/>
      <c r="AA247" s="1">
        <v>28555.03571</v>
      </c>
      <c r="AB247" s="1">
        <v>2881.8393999999998</v>
      </c>
      <c r="AC247" s="1">
        <v>1183.6878589999999</v>
      </c>
      <c r="AD247" s="1">
        <v>44173.935790000003</v>
      </c>
      <c r="AE247" s="1"/>
      <c r="AF247" s="1">
        <v>623286.89080000005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>
      <c r="A248" s="1">
        <v>2012</v>
      </c>
      <c r="B248" s="1" t="s">
        <v>82</v>
      </c>
      <c r="C248" s="1" t="s">
        <v>107</v>
      </c>
      <c r="D248" s="1">
        <v>114380</v>
      </c>
      <c r="E248" s="1">
        <v>50052.535020000003</v>
      </c>
      <c r="F248" s="1">
        <v>11587.114009999999</v>
      </c>
      <c r="G248" s="1">
        <v>24108.998240000001</v>
      </c>
      <c r="H248" s="1">
        <v>2354.1260470000002</v>
      </c>
      <c r="I248" s="1"/>
      <c r="J248" s="1"/>
      <c r="K248" s="1"/>
      <c r="L248" s="1">
        <v>242.44229859999999</v>
      </c>
      <c r="M248" s="1">
        <v>222.5343317</v>
      </c>
      <c r="N248" s="1">
        <v>1111.989198</v>
      </c>
      <c r="O248" s="1">
        <v>1199.573834</v>
      </c>
      <c r="P248" s="1">
        <v>369.76640859999998</v>
      </c>
      <c r="Q248" s="1"/>
      <c r="R248" s="1"/>
      <c r="S248" s="1"/>
      <c r="T248" s="1">
        <v>316.24337960000003</v>
      </c>
      <c r="U248" s="1">
        <v>44235.859519999998</v>
      </c>
      <c r="V248" s="1">
        <v>11115.96348</v>
      </c>
      <c r="W248" s="1"/>
      <c r="X248" s="1"/>
      <c r="Y248" s="1"/>
      <c r="Z248" s="1"/>
      <c r="AA248" s="1">
        <v>9778.0786150000004</v>
      </c>
      <c r="AB248" s="1">
        <v>1285.5406439999999</v>
      </c>
      <c r="AC248" s="1">
        <v>240.1301349</v>
      </c>
      <c r="AD248" s="1">
        <v>15932.364750000001</v>
      </c>
      <c r="AE248" s="1"/>
      <c r="AF248" s="1">
        <v>289684.5441</v>
      </c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>
      <c r="A249" s="1">
        <v>2012</v>
      </c>
      <c r="B249" s="1" t="s">
        <v>82</v>
      </c>
      <c r="C249" s="1" t="s">
        <v>108</v>
      </c>
      <c r="D249" s="1">
        <v>20559</v>
      </c>
      <c r="E249" s="1">
        <v>18228.288700000001</v>
      </c>
      <c r="F249" s="1">
        <v>6539.7801570000001</v>
      </c>
      <c r="G249" s="1">
        <v>12172.654049999999</v>
      </c>
      <c r="H249" s="1">
        <v>533.06581000000006</v>
      </c>
      <c r="I249" s="1"/>
      <c r="J249" s="1"/>
      <c r="K249" s="1"/>
      <c r="L249" s="1">
        <v>46.291386240000001</v>
      </c>
      <c r="M249" s="1">
        <v>41.244874000000003</v>
      </c>
      <c r="N249" s="1">
        <v>236.9361978</v>
      </c>
      <c r="O249" s="1">
        <v>972.06539039999996</v>
      </c>
      <c r="P249" s="1">
        <v>92.724054800000005</v>
      </c>
      <c r="Q249" s="1"/>
      <c r="R249" s="1"/>
      <c r="S249" s="1"/>
      <c r="T249" s="1">
        <v>68.847019660000001</v>
      </c>
      <c r="U249" s="1">
        <v>16237.11397</v>
      </c>
      <c r="V249" s="1">
        <v>4267.3605829999997</v>
      </c>
      <c r="W249" s="1"/>
      <c r="X249" s="1"/>
      <c r="Y249" s="1"/>
      <c r="Z249" s="1"/>
      <c r="AA249" s="1">
        <v>3667.7725620000001</v>
      </c>
      <c r="AB249" s="1">
        <v>533.96885090000001</v>
      </c>
      <c r="AC249" s="1">
        <v>81.754588870000006</v>
      </c>
      <c r="AD249" s="1">
        <v>6868.2710809999999</v>
      </c>
      <c r="AE249" s="1"/>
      <c r="AF249" s="1">
        <v>149709.29999999999</v>
      </c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>
      <c r="A250" s="1">
        <v>2012</v>
      </c>
      <c r="B250" s="1" t="s">
        <v>82</v>
      </c>
      <c r="C250" s="1" t="s">
        <v>109</v>
      </c>
      <c r="D250" s="1">
        <v>7035</v>
      </c>
      <c r="E250" s="1">
        <v>20551.217530000002</v>
      </c>
      <c r="F250" s="1">
        <v>11850.470240000001</v>
      </c>
      <c r="G250" s="1">
        <v>14065.030430000001</v>
      </c>
      <c r="H250" s="1">
        <v>450.34442860000001</v>
      </c>
      <c r="I250" s="1"/>
      <c r="J250" s="1"/>
      <c r="K250" s="1"/>
      <c r="L250" s="1">
        <v>17.2788</v>
      </c>
      <c r="M250" s="1">
        <v>14.88459153</v>
      </c>
      <c r="N250" s="1">
        <v>114.034046</v>
      </c>
      <c r="O250" s="1">
        <v>2537.5782429999999</v>
      </c>
      <c r="P250" s="1">
        <v>69.502127520000002</v>
      </c>
      <c r="Q250" s="1"/>
      <c r="R250" s="1"/>
      <c r="S250" s="1"/>
      <c r="T250" s="1">
        <v>17.789679799999998</v>
      </c>
      <c r="U250" s="1">
        <v>17329.805609999999</v>
      </c>
      <c r="V250" s="1">
        <v>4676.5577629999998</v>
      </c>
      <c r="W250" s="1"/>
      <c r="X250" s="1"/>
      <c r="Y250" s="1"/>
      <c r="Z250" s="1"/>
      <c r="AA250" s="1">
        <v>4005.1969020000001</v>
      </c>
      <c r="AB250" s="1">
        <v>669.1102588</v>
      </c>
      <c r="AC250" s="1">
        <v>77.198260349999998</v>
      </c>
      <c r="AD250" s="1">
        <v>11176.734179999999</v>
      </c>
      <c r="AE250" s="1"/>
      <c r="AF250" s="1">
        <v>206138.4583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>
      <c r="A251" s="1">
        <v>2011</v>
      </c>
      <c r="B251" s="1" t="s">
        <v>82</v>
      </c>
      <c r="C251" s="1" t="s">
        <v>99</v>
      </c>
      <c r="D251" s="1">
        <v>2312346</v>
      </c>
      <c r="E251" s="1">
        <v>2413.644832</v>
      </c>
      <c r="F251" s="1">
        <v>17363.053059999998</v>
      </c>
      <c r="G251" s="1">
        <v>79812.330270000006</v>
      </c>
      <c r="H251" s="1">
        <v>1701.3746309999999</v>
      </c>
      <c r="I251" s="1"/>
      <c r="J251" s="1"/>
      <c r="K251" s="1"/>
      <c r="L251" s="1">
        <v>704.23859379999999</v>
      </c>
      <c r="M251" s="1">
        <v>162.13270009999999</v>
      </c>
      <c r="N251" s="1">
        <v>1745.869931</v>
      </c>
      <c r="O251" s="1">
        <v>141.6469903</v>
      </c>
      <c r="P251" s="1">
        <v>807.83941609999999</v>
      </c>
      <c r="Q251" s="1"/>
      <c r="R251" s="1"/>
      <c r="S251" s="1"/>
      <c r="T251" s="1">
        <v>80.418792839999995</v>
      </c>
      <c r="U251" s="1">
        <v>581.30213309999999</v>
      </c>
      <c r="V251" s="1">
        <v>47.006805249999999</v>
      </c>
      <c r="W251" s="1"/>
      <c r="X251" s="1"/>
      <c r="Y251" s="1"/>
      <c r="Z251" s="1"/>
      <c r="AA251" s="1">
        <v>299.87516929999998</v>
      </c>
      <c r="AB251" s="1">
        <v>4.4403256300000002</v>
      </c>
      <c r="AC251" s="1">
        <v>257.41406490000003</v>
      </c>
      <c r="AD251" s="1">
        <v>30554.611830000002</v>
      </c>
      <c r="AE251" s="1"/>
      <c r="AF251" s="1">
        <v>438406.8297</v>
      </c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>
      <c r="A252" s="1">
        <v>2011</v>
      </c>
      <c r="B252" s="1" t="s">
        <v>82</v>
      </c>
      <c r="C252" s="1" t="s">
        <v>100</v>
      </c>
      <c r="D252" s="1">
        <v>1088627</v>
      </c>
      <c r="E252" s="1">
        <v>7558.1289200000001</v>
      </c>
      <c r="F252" s="1">
        <v>3286.3393289999999</v>
      </c>
      <c r="G252" s="1">
        <v>32311.891619999999</v>
      </c>
      <c r="H252" s="1">
        <v>203.435644</v>
      </c>
      <c r="I252" s="1"/>
      <c r="J252" s="1"/>
      <c r="K252" s="1"/>
      <c r="L252" s="1">
        <v>236.87960150000001</v>
      </c>
      <c r="M252" s="1">
        <v>52.258767400000004</v>
      </c>
      <c r="N252" s="1">
        <v>268.07929949999999</v>
      </c>
      <c r="O252" s="1">
        <v>73.444925979999994</v>
      </c>
      <c r="P252" s="1">
        <v>74.315619650000002</v>
      </c>
      <c r="Q252" s="1"/>
      <c r="R252" s="1"/>
      <c r="S252" s="1"/>
      <c r="T252" s="1">
        <v>946.35570849999999</v>
      </c>
      <c r="U252" s="1">
        <v>5703.6528159999998</v>
      </c>
      <c r="V252" s="1">
        <v>7.2256244399999998</v>
      </c>
      <c r="W252" s="1"/>
      <c r="X252" s="1"/>
      <c r="Y252" s="1"/>
      <c r="Z252" s="1"/>
      <c r="AA252" s="1">
        <v>59.499085149999999</v>
      </c>
      <c r="AB252" s="1">
        <v>0.52331212000000005</v>
      </c>
      <c r="AC252" s="1">
        <v>52.966865329999997</v>
      </c>
      <c r="AD252" s="1">
        <v>19682.846160000001</v>
      </c>
      <c r="AE252" s="1"/>
      <c r="AF252" s="1">
        <v>137750.49309999999</v>
      </c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>
      <c r="A253" s="1">
        <v>2011</v>
      </c>
      <c r="B253" s="1" t="s">
        <v>82</v>
      </c>
      <c r="C253" s="1" t="s">
        <v>101</v>
      </c>
      <c r="D253" s="1">
        <v>1942911</v>
      </c>
      <c r="E253" s="1">
        <v>26263.239460000001</v>
      </c>
      <c r="F253" s="1">
        <v>5874.2255830000004</v>
      </c>
      <c r="G253" s="1">
        <v>38000.38134</v>
      </c>
      <c r="H253" s="1">
        <v>663.65180180000004</v>
      </c>
      <c r="I253" s="1"/>
      <c r="J253" s="1"/>
      <c r="K253" s="1"/>
      <c r="L253" s="1">
        <v>980.09957880000002</v>
      </c>
      <c r="M253" s="1">
        <v>248.98371929999999</v>
      </c>
      <c r="N253" s="1">
        <v>865.53534479999996</v>
      </c>
      <c r="O253" s="1">
        <v>250.72915180000001</v>
      </c>
      <c r="P253" s="1">
        <v>300.34831300000002</v>
      </c>
      <c r="Q253" s="1"/>
      <c r="R253" s="1"/>
      <c r="S253" s="1"/>
      <c r="T253" s="1">
        <v>3152.2979300000002</v>
      </c>
      <c r="U253" s="1">
        <v>19801.852299999999</v>
      </c>
      <c r="V253" s="1">
        <v>15.03513875</v>
      </c>
      <c r="W253" s="1"/>
      <c r="X253" s="1"/>
      <c r="Y253" s="1"/>
      <c r="Z253" s="1"/>
      <c r="AA253" s="1">
        <v>231.2023002</v>
      </c>
      <c r="AB253" s="1">
        <v>1.1790993599999999</v>
      </c>
      <c r="AC253" s="1">
        <v>218.22712530000001</v>
      </c>
      <c r="AD253" s="1">
        <v>15470.932049999999</v>
      </c>
      <c r="AE253" s="1"/>
      <c r="AF253" s="1">
        <v>213733.3322</v>
      </c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>
      <c r="A254" s="1">
        <v>2011</v>
      </c>
      <c r="B254" s="1" t="s">
        <v>82</v>
      </c>
      <c r="C254" s="1" t="s">
        <v>102</v>
      </c>
      <c r="D254" s="1">
        <v>7023998</v>
      </c>
      <c r="E254" s="1">
        <v>159872.57889999999</v>
      </c>
      <c r="F254" s="1">
        <v>13398.51672</v>
      </c>
      <c r="G254" s="1">
        <v>63312.441550000003</v>
      </c>
      <c r="H254" s="1">
        <v>4474.7871859999996</v>
      </c>
      <c r="I254" s="1"/>
      <c r="J254" s="1"/>
      <c r="K254" s="1"/>
      <c r="L254" s="1">
        <v>5750.9001420000004</v>
      </c>
      <c r="M254" s="1">
        <v>2106.5634020000002</v>
      </c>
      <c r="N254" s="1">
        <v>3922.0977859999998</v>
      </c>
      <c r="O254" s="1">
        <v>1395.662198</v>
      </c>
      <c r="P254" s="1">
        <v>1125.2744970000001</v>
      </c>
      <c r="Q254" s="1"/>
      <c r="R254" s="1"/>
      <c r="S254" s="1"/>
      <c r="T254" s="1">
        <v>20270.828809999999</v>
      </c>
      <c r="U254" s="1">
        <v>120827.0334</v>
      </c>
      <c r="V254" s="1">
        <v>45.48127349</v>
      </c>
      <c r="W254" s="1"/>
      <c r="X254" s="1"/>
      <c r="Y254" s="1"/>
      <c r="Z254" s="1"/>
      <c r="AA254" s="1">
        <v>1105.915978</v>
      </c>
      <c r="AB254" s="1">
        <v>8.6463242000000005</v>
      </c>
      <c r="AC254" s="1">
        <v>1076.267908</v>
      </c>
      <c r="AD254" s="1">
        <v>45293.618949999996</v>
      </c>
      <c r="AE254" s="1"/>
      <c r="AF254" s="1">
        <v>549512.98049999995</v>
      </c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>
      <c r="A255" s="1">
        <v>2011</v>
      </c>
      <c r="B255" s="1" t="s">
        <v>82</v>
      </c>
      <c r="C255" s="1" t="s">
        <v>103</v>
      </c>
      <c r="D255" s="1">
        <v>5986922</v>
      </c>
      <c r="E255" s="1">
        <v>206264.8009</v>
      </c>
      <c r="F255" s="1">
        <v>22110.26096</v>
      </c>
      <c r="G255" s="1">
        <v>66505.47825</v>
      </c>
      <c r="H255" s="1">
        <v>9316.9217809999991</v>
      </c>
      <c r="I255" s="1"/>
      <c r="J255" s="1"/>
      <c r="K255" s="1"/>
      <c r="L255" s="1">
        <v>8782.4684899999993</v>
      </c>
      <c r="M255" s="1">
        <v>4765.168643</v>
      </c>
      <c r="N255" s="1">
        <v>8672.954694</v>
      </c>
      <c r="O255" s="1">
        <v>1963.246942</v>
      </c>
      <c r="P255" s="1">
        <v>1756.378144</v>
      </c>
      <c r="Q255" s="1"/>
      <c r="R255" s="1"/>
      <c r="S255" s="1"/>
      <c r="T255" s="1">
        <v>21249.177220000001</v>
      </c>
      <c r="U255" s="1">
        <v>149761.58989999999</v>
      </c>
      <c r="V255" s="1">
        <v>3023.2435839999998</v>
      </c>
      <c r="W255" s="1"/>
      <c r="X255" s="1"/>
      <c r="Y255" s="1"/>
      <c r="Z255" s="1"/>
      <c r="AA255" s="1">
        <v>5420.6117990000002</v>
      </c>
      <c r="AB255" s="1">
        <v>644.29306010000005</v>
      </c>
      <c r="AC255" s="1">
        <v>3090.8861019999999</v>
      </c>
      <c r="AD255" s="1">
        <v>211176.9278</v>
      </c>
      <c r="AE255" s="1"/>
      <c r="AF255" s="1">
        <v>570651.3223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>
      <c r="A256" s="1">
        <v>2011</v>
      </c>
      <c r="B256" s="1" t="s">
        <v>82</v>
      </c>
      <c r="C256" s="1" t="s">
        <v>104</v>
      </c>
      <c r="D256" s="1">
        <v>3969851</v>
      </c>
      <c r="E256" s="1">
        <v>235756.13930000001</v>
      </c>
      <c r="F256" s="1">
        <v>28786.985720000001</v>
      </c>
      <c r="G256" s="1">
        <v>83524.641659999994</v>
      </c>
      <c r="H256" s="1">
        <v>9727.6279419999992</v>
      </c>
      <c r="I256" s="1"/>
      <c r="J256" s="1"/>
      <c r="K256" s="1"/>
      <c r="L256" s="1">
        <v>6010.9278329999997</v>
      </c>
      <c r="M256" s="1">
        <v>4692.0775100000001</v>
      </c>
      <c r="N256" s="1">
        <v>9984.0947140000007</v>
      </c>
      <c r="O256" s="1">
        <v>2151.0419059999999</v>
      </c>
      <c r="P256" s="1">
        <v>2209.7504629999999</v>
      </c>
      <c r="Q256" s="1"/>
      <c r="R256" s="1"/>
      <c r="S256" s="1"/>
      <c r="T256" s="1">
        <v>25034.976869999999</v>
      </c>
      <c r="U256" s="1">
        <v>175949.59839999999</v>
      </c>
      <c r="V256" s="1">
        <v>15220.677369999999</v>
      </c>
      <c r="W256" s="1"/>
      <c r="X256" s="1"/>
      <c r="Y256" s="1"/>
      <c r="Z256" s="1"/>
      <c r="AA256" s="1">
        <v>16687.06912</v>
      </c>
      <c r="AB256" s="1">
        <v>2811.9796769999998</v>
      </c>
      <c r="AC256" s="1">
        <v>4478.2789789999997</v>
      </c>
      <c r="AD256" s="1">
        <v>80201.189610000001</v>
      </c>
      <c r="AE256" s="1"/>
      <c r="AF256" s="1">
        <v>735235.06409999996</v>
      </c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>
      <c r="A257" s="1">
        <v>2011</v>
      </c>
      <c r="B257" s="1" t="s">
        <v>82</v>
      </c>
      <c r="C257" s="1" t="s">
        <v>105</v>
      </c>
      <c r="D257" s="1">
        <v>1686342</v>
      </c>
      <c r="E257" s="1">
        <v>188989.99950000001</v>
      </c>
      <c r="F257" s="1">
        <v>26873.128110000001</v>
      </c>
      <c r="G257" s="1">
        <v>57133.26251</v>
      </c>
      <c r="H257" s="1">
        <v>10122.9619</v>
      </c>
      <c r="I257" s="1"/>
      <c r="J257" s="1"/>
      <c r="K257" s="1"/>
      <c r="L257" s="1">
        <v>3002.3564040000001</v>
      </c>
      <c r="M257" s="1">
        <v>2760.7947770000001</v>
      </c>
      <c r="N257" s="1">
        <v>7993.0467410000001</v>
      </c>
      <c r="O257" s="1">
        <v>1772.8619619999999</v>
      </c>
      <c r="P257" s="1">
        <v>2191.306951</v>
      </c>
      <c r="Q257" s="1"/>
      <c r="R257" s="1"/>
      <c r="S257" s="1"/>
      <c r="T257" s="1">
        <v>9704.3967460000003</v>
      </c>
      <c r="U257" s="1">
        <v>151447.30729999999</v>
      </c>
      <c r="V257" s="1">
        <v>26959.773980000002</v>
      </c>
      <c r="W257" s="1"/>
      <c r="X257" s="1"/>
      <c r="Y257" s="1"/>
      <c r="Z257" s="1"/>
      <c r="AA257" s="1">
        <v>25840.047050000001</v>
      </c>
      <c r="AB257" s="1">
        <v>3309.10124</v>
      </c>
      <c r="AC257" s="1">
        <v>2403.2516190000001</v>
      </c>
      <c r="AD257" s="1">
        <v>58964.90468</v>
      </c>
      <c r="AE257" s="1"/>
      <c r="AF257" s="1">
        <v>612071.67150000005</v>
      </c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>
      <c r="A258" s="1">
        <v>2011</v>
      </c>
      <c r="B258" s="1" t="s">
        <v>82</v>
      </c>
      <c r="C258" s="1" t="s">
        <v>106</v>
      </c>
      <c r="D258" s="1">
        <v>709067</v>
      </c>
      <c r="E258" s="1">
        <v>149551.5111</v>
      </c>
      <c r="F258" s="1">
        <v>23322.26756</v>
      </c>
      <c r="G258" s="1">
        <v>46051.20246</v>
      </c>
      <c r="H258" s="1">
        <v>10177.98256</v>
      </c>
      <c r="I258" s="1"/>
      <c r="J258" s="1"/>
      <c r="K258" s="1"/>
      <c r="L258" s="1">
        <v>1358.38661</v>
      </c>
      <c r="M258" s="1">
        <v>1236.243549</v>
      </c>
      <c r="N258" s="1">
        <v>5456.1164049999998</v>
      </c>
      <c r="O258" s="1">
        <v>1785.9730730000001</v>
      </c>
      <c r="P258" s="1">
        <v>1615.389917</v>
      </c>
      <c r="Q258" s="1"/>
      <c r="R258" s="1"/>
      <c r="S258" s="1"/>
      <c r="T258" s="1">
        <v>1958.581737</v>
      </c>
      <c r="U258" s="1">
        <v>125968.0799</v>
      </c>
      <c r="V258" s="1">
        <v>28481.007269999998</v>
      </c>
      <c r="W258" s="1"/>
      <c r="X258" s="1"/>
      <c r="Y258" s="1"/>
      <c r="Z258" s="1"/>
      <c r="AA258" s="1">
        <v>26866.39631</v>
      </c>
      <c r="AB258" s="1">
        <v>2665.8781220000001</v>
      </c>
      <c r="AC258" s="1">
        <v>1253.901079</v>
      </c>
      <c r="AD258" s="1">
        <v>44351.526570000002</v>
      </c>
      <c r="AE258" s="1"/>
      <c r="AF258" s="1">
        <v>545294.18000000005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>
      <c r="A259" s="1">
        <v>2011</v>
      </c>
      <c r="B259" s="1" t="s">
        <v>82</v>
      </c>
      <c r="C259" s="1" t="s">
        <v>107</v>
      </c>
      <c r="D259" s="1">
        <v>146528</v>
      </c>
      <c r="E259" s="1">
        <v>55116.649669999999</v>
      </c>
      <c r="F259" s="1">
        <v>18461.099849999999</v>
      </c>
      <c r="G259" s="1">
        <v>27023.648020000001</v>
      </c>
      <c r="H259" s="1">
        <v>2959.3554949999998</v>
      </c>
      <c r="I259" s="1"/>
      <c r="J259" s="1"/>
      <c r="K259" s="1"/>
      <c r="L259" s="1">
        <v>296.49585380000002</v>
      </c>
      <c r="M259" s="1">
        <v>266.92668020000002</v>
      </c>
      <c r="N259" s="1">
        <v>1364.4551530000001</v>
      </c>
      <c r="O259" s="1">
        <v>1117.261501</v>
      </c>
      <c r="P259" s="1">
        <v>419.36530320000003</v>
      </c>
      <c r="Q259" s="1"/>
      <c r="R259" s="1"/>
      <c r="S259" s="1"/>
      <c r="T259" s="1">
        <v>341.74417990000001</v>
      </c>
      <c r="U259" s="1">
        <v>48351.304980000001</v>
      </c>
      <c r="V259" s="1">
        <v>12027.53426</v>
      </c>
      <c r="W259" s="1"/>
      <c r="X259" s="1"/>
      <c r="Y259" s="1"/>
      <c r="Z259" s="1"/>
      <c r="AA259" s="1">
        <v>10830.285459999999</v>
      </c>
      <c r="AB259" s="1">
        <v>1274.3787609999999</v>
      </c>
      <c r="AC259" s="1">
        <v>291.20436280000001</v>
      </c>
      <c r="AD259" s="1">
        <v>17988.055909999999</v>
      </c>
      <c r="AE259" s="1"/>
      <c r="AF259" s="1">
        <v>307934.22739999997</v>
      </c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>
      <c r="A260" s="1">
        <v>2011</v>
      </c>
      <c r="B260" s="1" t="s">
        <v>82</v>
      </c>
      <c r="C260" s="1" t="s">
        <v>108</v>
      </c>
      <c r="D260" s="1">
        <v>23730</v>
      </c>
      <c r="E260" s="1">
        <v>18059.331549999999</v>
      </c>
      <c r="F260" s="1">
        <v>8300.7563979999995</v>
      </c>
      <c r="G260" s="1">
        <v>12744.48749</v>
      </c>
      <c r="H260" s="1">
        <v>571.11797669999999</v>
      </c>
      <c r="I260" s="1"/>
      <c r="J260" s="1"/>
      <c r="K260" s="1"/>
      <c r="L260" s="1">
        <v>51.260264280000001</v>
      </c>
      <c r="M260" s="1">
        <v>44.767901950000002</v>
      </c>
      <c r="N260" s="1">
        <v>257.56150910000002</v>
      </c>
      <c r="O260" s="1">
        <v>879.92691609999997</v>
      </c>
      <c r="P260" s="1">
        <v>100.37485030000001</v>
      </c>
      <c r="Q260" s="1"/>
      <c r="R260" s="1"/>
      <c r="S260" s="1"/>
      <c r="T260" s="1">
        <v>71.850244119999999</v>
      </c>
      <c r="U260" s="1">
        <v>16082.471890000001</v>
      </c>
      <c r="V260" s="1">
        <v>4208.2139200000001</v>
      </c>
      <c r="W260" s="1"/>
      <c r="X260" s="1"/>
      <c r="Y260" s="1"/>
      <c r="Z260" s="1"/>
      <c r="AA260" s="1">
        <v>3699.4666470000002</v>
      </c>
      <c r="AB260" s="1">
        <v>485.98505260000002</v>
      </c>
      <c r="AC260" s="1">
        <v>87.243298569999993</v>
      </c>
      <c r="AD260" s="1">
        <v>5886.098626</v>
      </c>
      <c r="AE260" s="1"/>
      <c r="AF260" s="1">
        <v>141039.6207</v>
      </c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>
      <c r="A261" s="1">
        <v>2011</v>
      </c>
      <c r="B261" s="1" t="s">
        <v>82</v>
      </c>
      <c r="C261" s="1" t="s">
        <v>109</v>
      </c>
      <c r="D261" s="1">
        <v>7863</v>
      </c>
      <c r="E261" s="1">
        <v>20081.55574</v>
      </c>
      <c r="F261" s="1">
        <v>15251.71077</v>
      </c>
      <c r="G261" s="1">
        <v>14337.30121</v>
      </c>
      <c r="H261" s="1">
        <v>455.79437300000001</v>
      </c>
      <c r="I261" s="1"/>
      <c r="J261" s="1"/>
      <c r="K261" s="1"/>
      <c r="L261" s="1">
        <v>18.663974280000001</v>
      </c>
      <c r="M261" s="1">
        <v>16.000614670000001</v>
      </c>
      <c r="N261" s="1">
        <v>119.912356</v>
      </c>
      <c r="O261" s="1">
        <v>2185.2640689999998</v>
      </c>
      <c r="P261" s="1">
        <v>74.039296480000004</v>
      </c>
      <c r="Q261" s="1"/>
      <c r="R261" s="1"/>
      <c r="S261" s="1"/>
      <c r="T261" s="1">
        <v>19.752493749999999</v>
      </c>
      <c r="U261" s="1">
        <v>17192.128560000001</v>
      </c>
      <c r="V261" s="1">
        <v>4633.5703979999998</v>
      </c>
      <c r="W261" s="1"/>
      <c r="X261" s="1"/>
      <c r="Y261" s="1"/>
      <c r="Z261" s="1"/>
      <c r="AA261" s="1">
        <v>3979.529982</v>
      </c>
      <c r="AB261" s="1">
        <v>674.75065819999998</v>
      </c>
      <c r="AC261" s="1">
        <v>93.659888940000002</v>
      </c>
      <c r="AD261" s="1">
        <v>9025.0121209999998</v>
      </c>
      <c r="AE261" s="1"/>
      <c r="AF261" s="1">
        <v>193584.2597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>
      <c r="A262" s="1">
        <v>2010</v>
      </c>
      <c r="B262" s="1" t="s">
        <v>82</v>
      </c>
      <c r="C262" s="1" t="s">
        <v>99</v>
      </c>
      <c r="D262" s="1">
        <v>2382268</v>
      </c>
      <c r="E262" s="1">
        <v>2258.7370660000001</v>
      </c>
      <c r="F262" s="1">
        <v>12202.091189999999</v>
      </c>
      <c r="G262" s="1">
        <v>70041.898610000004</v>
      </c>
      <c r="H262" s="1">
        <v>1961.46811</v>
      </c>
      <c r="I262" s="1"/>
      <c r="J262" s="1"/>
      <c r="K262" s="1"/>
      <c r="L262" s="1">
        <v>699.12625500000001</v>
      </c>
      <c r="M262" s="1">
        <v>159.60499609999999</v>
      </c>
      <c r="N262" s="1">
        <v>1699.2282499999999</v>
      </c>
      <c r="O262" s="1">
        <v>118.2026772</v>
      </c>
      <c r="P262" s="1">
        <v>910.38217569999995</v>
      </c>
      <c r="Q262" s="1"/>
      <c r="R262" s="1"/>
      <c r="S262" s="1"/>
      <c r="T262" s="1">
        <v>76.811250860000001</v>
      </c>
      <c r="U262" s="1">
        <v>561.61115930000005</v>
      </c>
      <c r="V262" s="1">
        <v>32.787552580000003</v>
      </c>
      <c r="W262" s="1"/>
      <c r="X262" s="1"/>
      <c r="Y262" s="1"/>
      <c r="Z262" s="1"/>
      <c r="AA262" s="1">
        <v>278.73523740000002</v>
      </c>
      <c r="AB262" s="1">
        <v>1.6926949099999999</v>
      </c>
      <c r="AC262" s="1">
        <v>247.60543419999999</v>
      </c>
      <c r="AD262" s="1">
        <v>26248.496520000001</v>
      </c>
      <c r="AE262" s="1"/>
      <c r="AF262" s="1">
        <v>370385.47700000001</v>
      </c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>
      <c r="A263" s="1">
        <v>2010</v>
      </c>
      <c r="B263" s="1" t="s">
        <v>82</v>
      </c>
      <c r="C263" s="1" t="s">
        <v>100</v>
      </c>
      <c r="D263" s="1">
        <v>1117909</v>
      </c>
      <c r="E263" s="1">
        <v>7248.459132</v>
      </c>
      <c r="F263" s="1">
        <v>2604.9519679999999</v>
      </c>
      <c r="G263" s="1">
        <v>27819.24236</v>
      </c>
      <c r="H263" s="1">
        <v>191.08830259999999</v>
      </c>
      <c r="I263" s="1"/>
      <c r="J263" s="1"/>
      <c r="K263" s="1"/>
      <c r="L263" s="1">
        <v>235.3313675</v>
      </c>
      <c r="M263" s="1">
        <v>51.021456839999999</v>
      </c>
      <c r="N263" s="1">
        <v>239.08130560000001</v>
      </c>
      <c r="O263" s="1">
        <v>58.123794189999998</v>
      </c>
      <c r="P263" s="1">
        <v>70.546811270000006</v>
      </c>
      <c r="Q263" s="1"/>
      <c r="R263" s="1"/>
      <c r="S263" s="1"/>
      <c r="T263" s="1">
        <v>913.98007380000001</v>
      </c>
      <c r="U263" s="1">
        <v>5489.7150549999997</v>
      </c>
      <c r="V263" s="1">
        <v>4.8321225099999996</v>
      </c>
      <c r="W263" s="1"/>
      <c r="X263" s="1"/>
      <c r="Y263" s="1"/>
      <c r="Z263" s="1"/>
      <c r="AA263" s="1">
        <v>56.93747475</v>
      </c>
      <c r="AB263" s="1">
        <v>0.15164316</v>
      </c>
      <c r="AC263" s="1">
        <v>52.640249189999999</v>
      </c>
      <c r="AD263" s="1">
        <v>8381.1564340000004</v>
      </c>
      <c r="AE263" s="1"/>
      <c r="AF263" s="1">
        <v>119275.8691</v>
      </c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>
      <c r="A264" s="1">
        <v>2010</v>
      </c>
      <c r="B264" s="1" t="s">
        <v>82</v>
      </c>
      <c r="C264" s="1" t="s">
        <v>101</v>
      </c>
      <c r="D264" s="1">
        <v>1964523</v>
      </c>
      <c r="E264" s="1">
        <v>24865.1862</v>
      </c>
      <c r="F264" s="1">
        <v>4533.8187049999997</v>
      </c>
      <c r="G264" s="1">
        <v>33047.731240000001</v>
      </c>
      <c r="H264" s="1">
        <v>636.87788490000003</v>
      </c>
      <c r="I264" s="1"/>
      <c r="J264" s="1"/>
      <c r="K264" s="1"/>
      <c r="L264" s="1">
        <v>972.97760300000004</v>
      </c>
      <c r="M264" s="1">
        <v>240.71311969999999</v>
      </c>
      <c r="N264" s="1">
        <v>770.30362500000001</v>
      </c>
      <c r="O264" s="1">
        <v>225.1194533</v>
      </c>
      <c r="P264" s="1">
        <v>287.3565792</v>
      </c>
      <c r="Q264" s="1"/>
      <c r="R264" s="1"/>
      <c r="S264" s="1"/>
      <c r="T264" s="1">
        <v>2945.2506840000001</v>
      </c>
      <c r="U264" s="1">
        <v>18787.505639999999</v>
      </c>
      <c r="V264" s="1">
        <v>13.42198653</v>
      </c>
      <c r="W264" s="1"/>
      <c r="X264" s="1"/>
      <c r="Y264" s="1"/>
      <c r="Z264" s="1"/>
      <c r="AA264" s="1">
        <v>219.38231719999999</v>
      </c>
      <c r="AB264" s="1">
        <v>0.92753251999999997</v>
      </c>
      <c r="AC264" s="1">
        <v>207.69035500000001</v>
      </c>
      <c r="AD264" s="1">
        <v>38842.450279999997</v>
      </c>
      <c r="AE264" s="1"/>
      <c r="AF264" s="1">
        <v>188410.1845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>
      <c r="A265" s="1">
        <v>2010</v>
      </c>
      <c r="B265" s="1" t="s">
        <v>82</v>
      </c>
      <c r="C265" s="1" t="s">
        <v>102</v>
      </c>
      <c r="D265" s="1">
        <v>6797262</v>
      </c>
      <c r="E265" s="1">
        <v>145154.53330000001</v>
      </c>
      <c r="F265" s="1">
        <v>11031.74159</v>
      </c>
      <c r="G265" s="1">
        <v>53624.095220000003</v>
      </c>
      <c r="H265" s="1">
        <v>4150.0646770000003</v>
      </c>
      <c r="I265" s="1"/>
      <c r="J265" s="1"/>
      <c r="K265" s="1"/>
      <c r="L265" s="1">
        <v>5430.7259510000004</v>
      </c>
      <c r="M265" s="1">
        <v>1895.480243</v>
      </c>
      <c r="N265" s="1">
        <v>3404.5813410000001</v>
      </c>
      <c r="O265" s="1">
        <v>1161.376849</v>
      </c>
      <c r="P265" s="1">
        <v>1029.396526</v>
      </c>
      <c r="Q265" s="1"/>
      <c r="R265" s="1"/>
      <c r="S265" s="1"/>
      <c r="T265" s="1">
        <v>18118.962200000002</v>
      </c>
      <c r="U265" s="1">
        <v>109972.7476</v>
      </c>
      <c r="V265" s="1">
        <v>23.220558189999998</v>
      </c>
      <c r="W265" s="1"/>
      <c r="X265" s="1"/>
      <c r="Y265" s="1"/>
      <c r="Z265" s="1"/>
      <c r="AA265" s="1">
        <v>942.13996459999998</v>
      </c>
      <c r="AB265" s="1">
        <v>2.63783871</v>
      </c>
      <c r="AC265" s="1">
        <v>927.68970179999997</v>
      </c>
      <c r="AD265" s="1">
        <v>152157.87419999999</v>
      </c>
      <c r="AE265" s="1"/>
      <c r="AF265" s="1">
        <v>472653.05249999999</v>
      </c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>
      <c r="A266" s="1">
        <v>2010</v>
      </c>
      <c r="B266" s="1" t="s">
        <v>82</v>
      </c>
      <c r="C266" s="1" t="s">
        <v>103</v>
      </c>
      <c r="D266" s="1">
        <v>5699014</v>
      </c>
      <c r="E266" s="1">
        <v>184550.0472</v>
      </c>
      <c r="F266" s="1">
        <v>18225.99079</v>
      </c>
      <c r="G266" s="1">
        <v>58036.204019999997</v>
      </c>
      <c r="H266" s="1">
        <v>8748.9611160000004</v>
      </c>
      <c r="I266" s="1"/>
      <c r="J266" s="1"/>
      <c r="K266" s="1"/>
      <c r="L266" s="1">
        <v>8482.6722210000007</v>
      </c>
      <c r="M266" s="1">
        <v>4664.7142240000003</v>
      </c>
      <c r="N266" s="1">
        <v>8071.8191889999998</v>
      </c>
      <c r="O266" s="1">
        <v>1772.907459</v>
      </c>
      <c r="P266" s="1">
        <v>1623.6840990000001</v>
      </c>
      <c r="Q266" s="1"/>
      <c r="R266" s="1"/>
      <c r="S266" s="1"/>
      <c r="T266" s="1">
        <v>18313.803070000002</v>
      </c>
      <c r="U266" s="1">
        <v>132882.2493</v>
      </c>
      <c r="V266" s="1">
        <v>2419.2064869999999</v>
      </c>
      <c r="W266" s="1"/>
      <c r="X266" s="1"/>
      <c r="Y266" s="1"/>
      <c r="Z266" s="1"/>
      <c r="AA266" s="1">
        <v>4555.2845450000004</v>
      </c>
      <c r="AB266" s="1">
        <v>538.91967099999999</v>
      </c>
      <c r="AC266" s="1">
        <v>2719.320127</v>
      </c>
      <c r="AD266" s="1">
        <v>93294.347349999996</v>
      </c>
      <c r="AE266" s="1"/>
      <c r="AF266" s="1">
        <v>509551.88449999999</v>
      </c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>
      <c r="A267" s="1">
        <v>2010</v>
      </c>
      <c r="B267" s="1" t="s">
        <v>82</v>
      </c>
      <c r="C267" s="1" t="s">
        <v>104</v>
      </c>
      <c r="D267" s="1">
        <v>3652874</v>
      </c>
      <c r="E267" s="1">
        <v>205727.8971</v>
      </c>
      <c r="F267" s="1">
        <v>23029.888419999999</v>
      </c>
      <c r="G267" s="1">
        <v>70119.737030000004</v>
      </c>
      <c r="H267" s="1">
        <v>9246.6221420000002</v>
      </c>
      <c r="I267" s="1"/>
      <c r="J267" s="1"/>
      <c r="K267" s="1"/>
      <c r="L267" s="1">
        <v>5647.7340180000001</v>
      </c>
      <c r="M267" s="1">
        <v>4477.5594080000001</v>
      </c>
      <c r="N267" s="1">
        <v>9165.3495019999991</v>
      </c>
      <c r="O267" s="1">
        <v>1979.0083480000001</v>
      </c>
      <c r="P267" s="1">
        <v>2003.3409770000001</v>
      </c>
      <c r="Q267" s="1"/>
      <c r="R267" s="1"/>
      <c r="S267" s="1"/>
      <c r="T267" s="1">
        <v>21127.062320000001</v>
      </c>
      <c r="U267" s="1">
        <v>152087.20509999999</v>
      </c>
      <c r="V267" s="1">
        <v>12713.804770000001</v>
      </c>
      <c r="W267" s="1"/>
      <c r="X267" s="1"/>
      <c r="Y267" s="1"/>
      <c r="Z267" s="1"/>
      <c r="AA267" s="1">
        <v>14119.121450000001</v>
      </c>
      <c r="AB267" s="1">
        <v>2425.4172060000001</v>
      </c>
      <c r="AC267" s="1">
        <v>4008.5541290000001</v>
      </c>
      <c r="AD267" s="1">
        <v>61225.420489999997</v>
      </c>
      <c r="AE267" s="1"/>
      <c r="AF267" s="1">
        <v>637536.58759999997</v>
      </c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>
      <c r="A268" s="1">
        <v>2010</v>
      </c>
      <c r="B268" s="1" t="s">
        <v>82</v>
      </c>
      <c r="C268" s="1" t="s">
        <v>105</v>
      </c>
      <c r="D268" s="1">
        <v>1535612</v>
      </c>
      <c r="E268" s="1">
        <v>163068.78400000001</v>
      </c>
      <c r="F268" s="1">
        <v>20059.671559999999</v>
      </c>
      <c r="G268" s="1">
        <v>48245.624340000002</v>
      </c>
      <c r="H268" s="1">
        <v>9249.5485829999998</v>
      </c>
      <c r="I268" s="1"/>
      <c r="J268" s="1"/>
      <c r="K268" s="1"/>
      <c r="L268" s="1">
        <v>2732.4250019999999</v>
      </c>
      <c r="M268" s="1">
        <v>2535.3044759999998</v>
      </c>
      <c r="N268" s="1">
        <v>7138.3476220000002</v>
      </c>
      <c r="O268" s="1">
        <v>1648.12345</v>
      </c>
      <c r="P268" s="1">
        <v>1970.6924759999999</v>
      </c>
      <c r="Q268" s="1"/>
      <c r="R268" s="1"/>
      <c r="S268" s="1"/>
      <c r="T268" s="1">
        <v>8361.1210219999994</v>
      </c>
      <c r="U268" s="1">
        <v>129435.9663</v>
      </c>
      <c r="V268" s="1">
        <v>22776.653320000001</v>
      </c>
      <c r="W268" s="1"/>
      <c r="X268" s="1"/>
      <c r="Y268" s="1"/>
      <c r="Z268" s="1"/>
      <c r="AA268" s="1">
        <v>21896.394380000002</v>
      </c>
      <c r="AB268" s="1">
        <v>2872.762714</v>
      </c>
      <c r="AC268" s="1">
        <v>2178.4031380000001</v>
      </c>
      <c r="AD268" s="1">
        <v>48584.252209999999</v>
      </c>
      <c r="AE268" s="1"/>
      <c r="AF268" s="1">
        <v>518669.40279999998</v>
      </c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>
      <c r="A269" s="1">
        <v>2010</v>
      </c>
      <c r="B269" s="1" t="s">
        <v>82</v>
      </c>
      <c r="C269" s="1" t="s">
        <v>106</v>
      </c>
      <c r="D269" s="1">
        <v>643767</v>
      </c>
      <c r="E269" s="1">
        <v>127686.0309</v>
      </c>
      <c r="F269" s="1">
        <v>19363.805189999999</v>
      </c>
      <c r="G269" s="1">
        <v>37781.538520000002</v>
      </c>
      <c r="H269" s="1">
        <v>9020.9465149999996</v>
      </c>
      <c r="I269" s="1"/>
      <c r="J269" s="1"/>
      <c r="K269" s="1"/>
      <c r="L269" s="1">
        <v>1228.6647780000001</v>
      </c>
      <c r="M269" s="1">
        <v>1128.9935760000001</v>
      </c>
      <c r="N269" s="1">
        <v>4751.1864130000004</v>
      </c>
      <c r="O269" s="1">
        <v>1597.216645</v>
      </c>
      <c r="P269" s="1">
        <v>1407.379283</v>
      </c>
      <c r="Q269" s="1"/>
      <c r="R269" s="1"/>
      <c r="S269" s="1"/>
      <c r="T269" s="1">
        <v>1624.219196</v>
      </c>
      <c r="U269" s="1">
        <v>106929.8955</v>
      </c>
      <c r="V269" s="1">
        <v>24002.826410000001</v>
      </c>
      <c r="W269" s="1"/>
      <c r="X269" s="1"/>
      <c r="Y269" s="1"/>
      <c r="Z269" s="1"/>
      <c r="AA269" s="1">
        <v>22774.98705</v>
      </c>
      <c r="AB269" s="1">
        <v>2307.3703139999998</v>
      </c>
      <c r="AC269" s="1">
        <v>1242.0945340000001</v>
      </c>
      <c r="AD269" s="1">
        <v>33750.677600000003</v>
      </c>
      <c r="AE269" s="1"/>
      <c r="AF269" s="1">
        <v>468836.61570000002</v>
      </c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>
      <c r="A270" s="1">
        <v>2010</v>
      </c>
      <c r="B270" s="1" t="s">
        <v>82</v>
      </c>
      <c r="C270" s="1" t="s">
        <v>107</v>
      </c>
      <c r="D270" s="1">
        <v>140827</v>
      </c>
      <c r="E270" s="1">
        <v>49689.702420000001</v>
      </c>
      <c r="F270" s="1">
        <v>10374.730869999999</v>
      </c>
      <c r="G270" s="1">
        <v>20327.002189999999</v>
      </c>
      <c r="H270" s="1">
        <v>2935.343128</v>
      </c>
      <c r="I270" s="1"/>
      <c r="J270" s="1"/>
      <c r="K270" s="1"/>
      <c r="L270" s="1">
        <v>278.3286493</v>
      </c>
      <c r="M270" s="1">
        <v>255.5654638</v>
      </c>
      <c r="N270" s="1">
        <v>1299.5663669999999</v>
      </c>
      <c r="O270" s="1">
        <v>918.11926519999997</v>
      </c>
      <c r="P270" s="1">
        <v>376.90006290000002</v>
      </c>
      <c r="Q270" s="1"/>
      <c r="R270" s="1"/>
      <c r="S270" s="1"/>
      <c r="T270" s="1">
        <v>285.23184700000002</v>
      </c>
      <c r="U270" s="1">
        <v>43341.320059999998</v>
      </c>
      <c r="V270" s="1">
        <v>10743.450140000001</v>
      </c>
      <c r="W270" s="1"/>
      <c r="X270" s="1"/>
      <c r="Y270" s="1"/>
      <c r="Z270" s="1"/>
      <c r="AA270" s="1">
        <v>9833.5268419999993</v>
      </c>
      <c r="AB270" s="1">
        <v>1075.525676</v>
      </c>
      <c r="AC270" s="1">
        <v>346.29966080000003</v>
      </c>
      <c r="AD270" s="1">
        <v>15159.69735</v>
      </c>
      <c r="AE270" s="1"/>
      <c r="AF270" s="1">
        <v>247108.42939999999</v>
      </c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>
      <c r="A271" s="1">
        <v>2010</v>
      </c>
      <c r="B271" s="1" t="s">
        <v>82</v>
      </c>
      <c r="C271" s="1" t="s">
        <v>108</v>
      </c>
      <c r="D271" s="1">
        <v>21777</v>
      </c>
      <c r="E271" s="1">
        <v>15428.599249999999</v>
      </c>
      <c r="F271" s="1">
        <v>5205.4307820000004</v>
      </c>
      <c r="G271" s="1">
        <v>10547.584269999999</v>
      </c>
      <c r="H271" s="1">
        <v>514.60323070000004</v>
      </c>
      <c r="I271" s="1"/>
      <c r="J271" s="1"/>
      <c r="K271" s="1"/>
      <c r="L271" s="1">
        <v>45.738634320000003</v>
      </c>
      <c r="M271" s="1">
        <v>41.042379859999997</v>
      </c>
      <c r="N271" s="1">
        <v>226.8278325</v>
      </c>
      <c r="O271" s="1">
        <v>770.82445059999998</v>
      </c>
      <c r="P271" s="1">
        <v>88.226051459999994</v>
      </c>
      <c r="Q271" s="1"/>
      <c r="R271" s="1"/>
      <c r="S271" s="1"/>
      <c r="T271" s="1">
        <v>62.839076820000002</v>
      </c>
      <c r="U271" s="1">
        <v>13678.558150000001</v>
      </c>
      <c r="V271" s="1">
        <v>3573.2345230000001</v>
      </c>
      <c r="W271" s="1"/>
      <c r="X271" s="1"/>
      <c r="Y271" s="1"/>
      <c r="Z271" s="1"/>
      <c r="AA271" s="1">
        <v>3150.0788109999999</v>
      </c>
      <c r="AB271" s="1">
        <v>422.18706179999998</v>
      </c>
      <c r="AC271" s="1">
        <v>96.973985479999996</v>
      </c>
      <c r="AD271" s="1">
        <v>4707.7078869999996</v>
      </c>
      <c r="AE271" s="1"/>
      <c r="AF271" s="1">
        <v>115066.5105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>
      <c r="A272" s="1">
        <v>2010</v>
      </c>
      <c r="B272" s="1" t="s">
        <v>82</v>
      </c>
      <c r="C272" s="1" t="s">
        <v>109</v>
      </c>
      <c r="D272" s="1">
        <v>7150</v>
      </c>
      <c r="E272" s="1">
        <v>16926.251939999998</v>
      </c>
      <c r="F272" s="1">
        <v>10407.802309999999</v>
      </c>
      <c r="G272" s="1">
        <v>14768.1284</v>
      </c>
      <c r="H272" s="1">
        <v>403.64643180000002</v>
      </c>
      <c r="I272" s="1"/>
      <c r="J272" s="1"/>
      <c r="K272" s="1"/>
      <c r="L272" s="1">
        <v>16.453539719999998</v>
      </c>
      <c r="M272" s="1">
        <v>14.416513549999999</v>
      </c>
      <c r="N272" s="1">
        <v>103.2651323</v>
      </c>
      <c r="O272" s="1">
        <v>1850.7528420000001</v>
      </c>
      <c r="P272" s="1">
        <v>59.455127269999998</v>
      </c>
      <c r="Q272" s="1"/>
      <c r="R272" s="1"/>
      <c r="S272" s="1"/>
      <c r="T272" s="1">
        <v>18.509868990000001</v>
      </c>
      <c r="U272" s="1">
        <v>14459.808000000001</v>
      </c>
      <c r="V272" s="1">
        <v>3898.0458589999998</v>
      </c>
      <c r="W272" s="1"/>
      <c r="X272" s="1"/>
      <c r="Y272" s="1"/>
      <c r="Z272" s="1"/>
      <c r="AA272" s="1">
        <v>3393.5576759999999</v>
      </c>
      <c r="AB272" s="1">
        <v>571.49876140000003</v>
      </c>
      <c r="AC272" s="1">
        <v>119.8804282</v>
      </c>
      <c r="AD272" s="1">
        <v>6957.394945</v>
      </c>
      <c r="AE272" s="1"/>
      <c r="AF272" s="1">
        <v>176130.94889999999</v>
      </c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>
      <c r="A273" s="1">
        <v>2009</v>
      </c>
      <c r="B273" s="1" t="s">
        <v>82</v>
      </c>
      <c r="C273" s="1" t="s">
        <v>99</v>
      </c>
      <c r="D273" s="1">
        <v>2745931</v>
      </c>
      <c r="E273" s="1">
        <v>2159.8356899999999</v>
      </c>
      <c r="F273" s="1">
        <v>10165.946910000001</v>
      </c>
      <c r="G273" s="1">
        <v>62692.628850000001</v>
      </c>
      <c r="H273" s="1">
        <v>1769.0951419999999</v>
      </c>
      <c r="I273" s="1"/>
      <c r="J273" s="1"/>
      <c r="K273" s="1"/>
      <c r="L273" s="1">
        <v>729.31063719999997</v>
      </c>
      <c r="M273" s="1">
        <v>159.88410959999999</v>
      </c>
      <c r="N273" s="1">
        <v>1388.9832100000001</v>
      </c>
      <c r="O273" s="1">
        <v>110.08355570000001</v>
      </c>
      <c r="P273" s="1">
        <v>778.54234629999996</v>
      </c>
      <c r="Q273" s="1"/>
      <c r="R273" s="1"/>
      <c r="S273" s="1"/>
      <c r="T273" s="1">
        <v>75.966841130000006</v>
      </c>
      <c r="U273" s="1">
        <v>533.42484620000005</v>
      </c>
      <c r="V273" s="1">
        <v>6.35209796</v>
      </c>
      <c r="W273" s="1"/>
      <c r="X273" s="1"/>
      <c r="Y273" s="1"/>
      <c r="Z273" s="1"/>
      <c r="AA273" s="1">
        <v>223.4931771</v>
      </c>
      <c r="AB273" s="1">
        <v>0.56974548999999997</v>
      </c>
      <c r="AC273" s="1">
        <v>222.89958899999999</v>
      </c>
      <c r="AD273" s="1">
        <v>24388.137019999998</v>
      </c>
      <c r="AE273" s="1"/>
      <c r="AF273" s="1">
        <v>343894.67959999997</v>
      </c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>
      <c r="A274" s="1">
        <v>2009</v>
      </c>
      <c r="B274" s="1" t="s">
        <v>82</v>
      </c>
      <c r="C274" s="1" t="s">
        <v>100</v>
      </c>
      <c r="D274" s="1">
        <v>1143144</v>
      </c>
      <c r="E274" s="1">
        <v>6732.3061500000003</v>
      </c>
      <c r="F274" s="1">
        <v>1901.5578989999999</v>
      </c>
      <c r="G274" s="1">
        <v>23058.247940000001</v>
      </c>
      <c r="H274" s="1">
        <v>169.53297929999999</v>
      </c>
      <c r="I274" s="1"/>
      <c r="J274" s="1"/>
      <c r="K274" s="1"/>
      <c r="L274" s="1">
        <v>243.92598469999999</v>
      </c>
      <c r="M274" s="1">
        <v>50.740863750000003</v>
      </c>
      <c r="N274" s="1">
        <v>212.44020330000001</v>
      </c>
      <c r="O274" s="1">
        <v>51.069566870000003</v>
      </c>
      <c r="P274" s="1">
        <v>63.940063979999998</v>
      </c>
      <c r="Q274" s="1"/>
      <c r="R274" s="1"/>
      <c r="S274" s="1"/>
      <c r="T274" s="1">
        <v>861.11195640000005</v>
      </c>
      <c r="U274" s="1">
        <v>5079.4834979999996</v>
      </c>
      <c r="V274" s="1">
        <v>7.9000799999999996E-2</v>
      </c>
      <c r="W274" s="1"/>
      <c r="X274" s="1"/>
      <c r="Y274" s="1"/>
      <c r="Z274" s="1"/>
      <c r="AA274" s="1">
        <v>35.590083319999998</v>
      </c>
      <c r="AB274" s="1">
        <v>6.3714599999999998E-3</v>
      </c>
      <c r="AC274" s="1">
        <v>35.638805589999997</v>
      </c>
      <c r="AD274" s="1">
        <v>6124.8136260000001</v>
      </c>
      <c r="AE274" s="1"/>
      <c r="AF274" s="1">
        <v>100449.364</v>
      </c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>
      <c r="A275" s="1">
        <v>2009</v>
      </c>
      <c r="B275" s="1" t="s">
        <v>82</v>
      </c>
      <c r="C275" s="1" t="s">
        <v>101</v>
      </c>
      <c r="D275" s="1">
        <v>1987781</v>
      </c>
      <c r="E275" s="1">
        <v>22904.064119999999</v>
      </c>
      <c r="F275" s="1">
        <v>3477.920685</v>
      </c>
      <c r="G275" s="1">
        <v>27102.35111</v>
      </c>
      <c r="H275" s="1">
        <v>617.37490620000005</v>
      </c>
      <c r="I275" s="1"/>
      <c r="J275" s="1"/>
      <c r="K275" s="1"/>
      <c r="L275" s="1">
        <v>1075.4129029999999</v>
      </c>
      <c r="M275" s="1">
        <v>235.6122489</v>
      </c>
      <c r="N275" s="1">
        <v>695.92072069999995</v>
      </c>
      <c r="O275" s="1">
        <v>194.3398546</v>
      </c>
      <c r="P275" s="1">
        <v>272.68597620000003</v>
      </c>
      <c r="Q275" s="1"/>
      <c r="R275" s="1"/>
      <c r="S275" s="1"/>
      <c r="T275" s="1">
        <v>2663.0875310000001</v>
      </c>
      <c r="U275" s="1">
        <v>17150.546600000001</v>
      </c>
      <c r="V275" s="1">
        <v>0.11094265</v>
      </c>
      <c r="W275" s="1"/>
      <c r="X275" s="1"/>
      <c r="Y275" s="1"/>
      <c r="Z275" s="1"/>
      <c r="AA275" s="1">
        <v>153.14468600000001</v>
      </c>
      <c r="AB275" s="1">
        <v>8.7729070000000006E-2</v>
      </c>
      <c r="AC275" s="1">
        <v>153.6276713</v>
      </c>
      <c r="AD275" s="1">
        <v>12295.228999999999</v>
      </c>
      <c r="AE275" s="1"/>
      <c r="AF275" s="1">
        <v>160553.2934</v>
      </c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>
      <c r="A276" s="1">
        <v>2009</v>
      </c>
      <c r="B276" s="1" t="s">
        <v>82</v>
      </c>
      <c r="C276" s="1" t="s">
        <v>102</v>
      </c>
      <c r="D276" s="1">
        <v>5965959</v>
      </c>
      <c r="E276" s="1">
        <v>113460.4657</v>
      </c>
      <c r="F276" s="1">
        <v>8419.2510600000005</v>
      </c>
      <c r="G276" s="1">
        <v>40083.858139999997</v>
      </c>
      <c r="H276" s="1">
        <v>3317.990108</v>
      </c>
      <c r="I276" s="1"/>
      <c r="J276" s="1"/>
      <c r="K276" s="1"/>
      <c r="L276" s="1">
        <v>4408.6932729999999</v>
      </c>
      <c r="M276" s="1">
        <v>1228.125538</v>
      </c>
      <c r="N276" s="1">
        <v>2371.0252359999999</v>
      </c>
      <c r="O276" s="1">
        <v>638.92058889999998</v>
      </c>
      <c r="P276" s="1">
        <v>786.17689580000001</v>
      </c>
      <c r="Q276" s="1"/>
      <c r="R276" s="1"/>
      <c r="S276" s="1"/>
      <c r="T276" s="1">
        <v>13870.4401</v>
      </c>
      <c r="U276" s="1">
        <v>86841.716069999995</v>
      </c>
      <c r="V276" s="1">
        <v>0.21466404</v>
      </c>
      <c r="W276" s="1"/>
      <c r="X276" s="1"/>
      <c r="Y276" s="1"/>
      <c r="Z276" s="1"/>
      <c r="AA276" s="1">
        <v>603.43089610000004</v>
      </c>
      <c r="AB276" s="1">
        <v>0.14481327999999999</v>
      </c>
      <c r="AC276" s="1">
        <v>606.82153600000004</v>
      </c>
      <c r="AD276" s="1">
        <v>45475.522949999999</v>
      </c>
      <c r="AE276" s="1"/>
      <c r="AF276" s="1">
        <v>344439.88170000003</v>
      </c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>
      <c r="A277" s="1">
        <v>2009</v>
      </c>
      <c r="B277" s="1" t="s">
        <v>82</v>
      </c>
      <c r="C277" s="1" t="s">
        <v>103</v>
      </c>
      <c r="D277" s="1">
        <v>6851344</v>
      </c>
      <c r="E277" s="1">
        <v>194845.31289999999</v>
      </c>
      <c r="F277" s="1">
        <v>17064.69066</v>
      </c>
      <c r="G277" s="1">
        <v>55321.440609999998</v>
      </c>
      <c r="H277" s="1">
        <v>9113.3563560000002</v>
      </c>
      <c r="I277" s="1"/>
      <c r="J277" s="1"/>
      <c r="K277" s="1"/>
      <c r="L277" s="1">
        <v>9277.4128230000006</v>
      </c>
      <c r="M277" s="1">
        <v>4997.8667100000002</v>
      </c>
      <c r="N277" s="1">
        <v>9590.0364310000004</v>
      </c>
      <c r="O277" s="1">
        <v>1889.261475</v>
      </c>
      <c r="P277" s="1">
        <v>1639.0385470000001</v>
      </c>
      <c r="Q277" s="1"/>
      <c r="R277" s="1"/>
      <c r="S277" s="1"/>
      <c r="T277" s="1">
        <v>18745.69152</v>
      </c>
      <c r="U277" s="1">
        <v>139597.0508</v>
      </c>
      <c r="V277" s="1">
        <v>1671.2750619999999</v>
      </c>
      <c r="W277" s="1"/>
      <c r="X277" s="1"/>
      <c r="Y277" s="1"/>
      <c r="Z277" s="1"/>
      <c r="AA277" s="1">
        <v>3842.0191319999999</v>
      </c>
      <c r="AB277" s="1">
        <v>372.14280769999999</v>
      </c>
      <c r="AC277" s="1">
        <v>2577.5571319999999</v>
      </c>
      <c r="AD277" s="1">
        <v>45922.170480000001</v>
      </c>
      <c r="AE277" s="1"/>
      <c r="AF277" s="1">
        <v>525418.46939999994</v>
      </c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>
      <c r="A278" s="1">
        <v>2009</v>
      </c>
      <c r="B278" s="1" t="s">
        <v>82</v>
      </c>
      <c r="C278" s="1" t="s">
        <v>104</v>
      </c>
      <c r="D278" s="1">
        <v>3449241</v>
      </c>
      <c r="E278" s="1">
        <v>179749.70980000001</v>
      </c>
      <c r="F278" s="1">
        <v>18663.791000000001</v>
      </c>
      <c r="G278" s="1">
        <v>59738.399579999998</v>
      </c>
      <c r="H278" s="1">
        <v>8375.8844219999992</v>
      </c>
      <c r="I278" s="1"/>
      <c r="J278" s="1"/>
      <c r="K278" s="1"/>
      <c r="L278" s="1">
        <v>5296.3732060000002</v>
      </c>
      <c r="M278" s="1">
        <v>4097.8582850000003</v>
      </c>
      <c r="N278" s="1">
        <v>9554.4362679999995</v>
      </c>
      <c r="O278" s="1">
        <v>1834.806617</v>
      </c>
      <c r="P278" s="1">
        <v>1735.5672360000001</v>
      </c>
      <c r="Q278" s="1"/>
      <c r="R278" s="1"/>
      <c r="S278" s="1"/>
      <c r="T278" s="1">
        <v>17618.642049999999</v>
      </c>
      <c r="U278" s="1">
        <v>131238.4472</v>
      </c>
      <c r="V278" s="1">
        <v>10060.58627</v>
      </c>
      <c r="W278" s="1"/>
      <c r="X278" s="1"/>
      <c r="Y278" s="1"/>
      <c r="Z278" s="1"/>
      <c r="AA278" s="1">
        <v>11558.89589</v>
      </c>
      <c r="AB278" s="1">
        <v>1949.1235919999999</v>
      </c>
      <c r="AC278" s="1">
        <v>3595.3873370000001</v>
      </c>
      <c r="AD278" s="1">
        <v>99465.996929999994</v>
      </c>
      <c r="AE278" s="1"/>
      <c r="AF278" s="1">
        <v>552705.92960000003</v>
      </c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>
      <c r="A279" s="1">
        <v>2009</v>
      </c>
      <c r="B279" s="1" t="s">
        <v>82</v>
      </c>
      <c r="C279" s="1" t="s">
        <v>105</v>
      </c>
      <c r="D279" s="1">
        <v>1436733</v>
      </c>
      <c r="E279" s="1">
        <v>141799.06359999999</v>
      </c>
      <c r="F279" s="1">
        <v>15763.355369999999</v>
      </c>
      <c r="G279" s="1">
        <v>40337.481469999999</v>
      </c>
      <c r="H279" s="1">
        <v>7955.3758019999996</v>
      </c>
      <c r="I279" s="1"/>
      <c r="J279" s="1"/>
      <c r="K279" s="1"/>
      <c r="L279" s="1">
        <v>2488.852265</v>
      </c>
      <c r="M279" s="1">
        <v>2315.8514230000001</v>
      </c>
      <c r="N279" s="1">
        <v>7072.6455050000004</v>
      </c>
      <c r="O279" s="1">
        <v>1555.554294</v>
      </c>
      <c r="P279" s="1">
        <v>1746.2375440000001</v>
      </c>
      <c r="Q279" s="1"/>
      <c r="R279" s="1"/>
      <c r="S279" s="1"/>
      <c r="T279" s="1">
        <v>7481.0390399999997</v>
      </c>
      <c r="U279" s="1">
        <v>111185.54150000001</v>
      </c>
      <c r="V279" s="1">
        <v>19048.56596</v>
      </c>
      <c r="W279" s="1"/>
      <c r="X279" s="1"/>
      <c r="Y279" s="1"/>
      <c r="Z279" s="1"/>
      <c r="AA279" s="1">
        <v>18442.41732</v>
      </c>
      <c r="AB279" s="1">
        <v>2474.338698</v>
      </c>
      <c r="AC279" s="1">
        <v>2021.39321</v>
      </c>
      <c r="AD279" s="1">
        <v>36202.73558</v>
      </c>
      <c r="AE279" s="1"/>
      <c r="AF279" s="1">
        <v>448635.65259999997</v>
      </c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>
      <c r="A280" s="1">
        <v>2009</v>
      </c>
      <c r="B280" s="1" t="s">
        <v>82</v>
      </c>
      <c r="C280" s="1" t="s">
        <v>106</v>
      </c>
      <c r="D280" s="1">
        <v>624922</v>
      </c>
      <c r="E280" s="1">
        <v>113819.44160000001</v>
      </c>
      <c r="F280" s="1">
        <v>14850.40237</v>
      </c>
      <c r="G280" s="1">
        <v>30838.793099999999</v>
      </c>
      <c r="H280" s="1">
        <v>7910.3264499999996</v>
      </c>
      <c r="I280" s="1"/>
      <c r="J280" s="1"/>
      <c r="K280" s="1"/>
      <c r="L280" s="1">
        <v>1165.4725739999999</v>
      </c>
      <c r="M280" s="1">
        <v>1079.7130970000001</v>
      </c>
      <c r="N280" s="1">
        <v>4605.1982470000003</v>
      </c>
      <c r="O280" s="1">
        <v>1425.5939249999999</v>
      </c>
      <c r="P280" s="1">
        <v>1259.2820400000001</v>
      </c>
      <c r="Q280" s="1"/>
      <c r="R280" s="1"/>
      <c r="S280" s="1"/>
      <c r="T280" s="1">
        <v>1546.729955</v>
      </c>
      <c r="U280" s="1">
        <v>94830.20379</v>
      </c>
      <c r="V280" s="1">
        <v>21010.98617</v>
      </c>
      <c r="W280" s="1"/>
      <c r="X280" s="1"/>
      <c r="Y280" s="1"/>
      <c r="Z280" s="1"/>
      <c r="AA280" s="1">
        <v>19788.457350000001</v>
      </c>
      <c r="AB280" s="1">
        <v>2120.5529929999998</v>
      </c>
      <c r="AC280" s="1">
        <v>1027.7959559999999</v>
      </c>
      <c r="AD280" s="1">
        <v>27115.010389999999</v>
      </c>
      <c r="AE280" s="1"/>
      <c r="AF280" s="1">
        <v>400176.73440000002</v>
      </c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>
      <c r="A281" s="1">
        <v>2009</v>
      </c>
      <c r="B281" s="1" t="s">
        <v>82</v>
      </c>
      <c r="C281" s="1" t="s">
        <v>107</v>
      </c>
      <c r="D281" s="1">
        <v>148849</v>
      </c>
      <c r="E281" s="1">
        <v>48773.95276</v>
      </c>
      <c r="F281" s="1">
        <v>8468.7869659999997</v>
      </c>
      <c r="G281" s="1">
        <v>18496.445970000001</v>
      </c>
      <c r="H281" s="1">
        <v>2933.847561</v>
      </c>
      <c r="I281" s="1"/>
      <c r="J281" s="1"/>
      <c r="K281" s="1"/>
      <c r="L281" s="1">
        <v>289.20521209999998</v>
      </c>
      <c r="M281" s="1">
        <v>267.8111715</v>
      </c>
      <c r="N281" s="1">
        <v>1384.4700190000001</v>
      </c>
      <c r="O281" s="1">
        <v>819.78987400000005</v>
      </c>
      <c r="P281" s="1">
        <v>381.20994899999999</v>
      </c>
      <c r="Q281" s="1"/>
      <c r="R281" s="1"/>
      <c r="S281" s="1"/>
      <c r="T281" s="1">
        <v>273.7695665</v>
      </c>
      <c r="U281" s="1">
        <v>42425.302969999997</v>
      </c>
      <c r="V281" s="1">
        <v>10446.45241</v>
      </c>
      <c r="W281" s="1"/>
      <c r="X281" s="1"/>
      <c r="Y281" s="1"/>
      <c r="Z281" s="1"/>
      <c r="AA281" s="1">
        <v>9513.6362399999998</v>
      </c>
      <c r="AB281" s="1">
        <v>1112.081925</v>
      </c>
      <c r="AC281" s="1">
        <v>319.3574931</v>
      </c>
      <c r="AD281" s="1">
        <v>12308.25044</v>
      </c>
      <c r="AE281" s="1"/>
      <c r="AF281" s="1">
        <v>233124.7512</v>
      </c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>
      <c r="A282" s="1">
        <v>2009</v>
      </c>
      <c r="B282" s="1" t="s">
        <v>82</v>
      </c>
      <c r="C282" s="1" t="s">
        <v>108</v>
      </c>
      <c r="D282" s="1">
        <v>22593</v>
      </c>
      <c r="E282" s="1">
        <v>14781.88969</v>
      </c>
      <c r="F282" s="1">
        <v>4634.4596330000004</v>
      </c>
      <c r="G282" s="1">
        <v>8031.856401</v>
      </c>
      <c r="H282" s="1">
        <v>481.53188130000001</v>
      </c>
      <c r="I282" s="1"/>
      <c r="J282" s="1"/>
      <c r="K282" s="1"/>
      <c r="L282" s="1">
        <v>44.744682400000002</v>
      </c>
      <c r="M282" s="1">
        <v>40.077387610000002</v>
      </c>
      <c r="N282" s="1">
        <v>232.2329546</v>
      </c>
      <c r="O282" s="1">
        <v>659.84502540000005</v>
      </c>
      <c r="P282" s="1">
        <v>84.360285009999998</v>
      </c>
      <c r="Q282" s="1"/>
      <c r="R282" s="1"/>
      <c r="S282" s="1"/>
      <c r="T282" s="1">
        <v>66.045068369999996</v>
      </c>
      <c r="U282" s="1">
        <v>13173.05241</v>
      </c>
      <c r="V282" s="1">
        <v>3434.2568200000001</v>
      </c>
      <c r="W282" s="1"/>
      <c r="X282" s="1"/>
      <c r="Y282" s="1"/>
      <c r="Z282" s="1"/>
      <c r="AA282" s="1">
        <v>2997.9636690000002</v>
      </c>
      <c r="AB282" s="1">
        <v>408.69944989999999</v>
      </c>
      <c r="AC282" s="1">
        <v>94.193530510000002</v>
      </c>
      <c r="AD282" s="1">
        <v>4468.5462189999998</v>
      </c>
      <c r="AE282" s="1"/>
      <c r="AF282" s="1">
        <v>101476.55710000001</v>
      </c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>
      <c r="A283" s="1">
        <v>2009</v>
      </c>
      <c r="B283" s="1" t="s">
        <v>82</v>
      </c>
      <c r="C283" s="1" t="s">
        <v>109</v>
      </c>
      <c r="D283" s="1">
        <v>7117</v>
      </c>
      <c r="E283" s="1">
        <v>15281.58625</v>
      </c>
      <c r="F283" s="1">
        <v>7692.7627110000003</v>
      </c>
      <c r="G283" s="1">
        <v>11782.06537</v>
      </c>
      <c r="H283" s="1">
        <v>330.88465300000001</v>
      </c>
      <c r="I283" s="1"/>
      <c r="J283" s="1"/>
      <c r="K283" s="1"/>
      <c r="L283" s="1">
        <v>15.6653112</v>
      </c>
      <c r="M283" s="1">
        <v>13.761562489999999</v>
      </c>
      <c r="N283" s="1">
        <v>99.129654680000002</v>
      </c>
      <c r="O283" s="1">
        <v>1579.4923879999999</v>
      </c>
      <c r="P283" s="1">
        <v>54.183360800000003</v>
      </c>
      <c r="Q283" s="1"/>
      <c r="R283" s="1"/>
      <c r="S283" s="1"/>
      <c r="T283" s="1">
        <v>16.47845706</v>
      </c>
      <c r="U283" s="1">
        <v>13171.99087</v>
      </c>
      <c r="V283" s="1">
        <v>3546.9871659999999</v>
      </c>
      <c r="W283" s="1"/>
      <c r="X283" s="1"/>
      <c r="Y283" s="1"/>
      <c r="Z283" s="1"/>
      <c r="AA283" s="1">
        <v>3073.6283090000002</v>
      </c>
      <c r="AB283" s="1">
        <v>481.58796569999998</v>
      </c>
      <c r="AC283" s="1">
        <v>61.779129570000002</v>
      </c>
      <c r="AD283" s="1">
        <v>6008.4603589999997</v>
      </c>
      <c r="AE283" s="1"/>
      <c r="AF283" s="1">
        <v>142086.51420000001</v>
      </c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>
      <c r="A284" s="1">
        <v>2008</v>
      </c>
      <c r="B284" s="1" t="s">
        <v>82</v>
      </c>
      <c r="C284" s="1" t="s">
        <v>99</v>
      </c>
      <c r="D284" s="1">
        <v>3737628</v>
      </c>
      <c r="E284" s="1">
        <v>1959.3963470000001</v>
      </c>
      <c r="F284" s="1">
        <v>8537.7464870000003</v>
      </c>
      <c r="G284" s="1">
        <v>38445.20983</v>
      </c>
      <c r="H284" s="1">
        <v>954.95671449999998</v>
      </c>
      <c r="I284" s="1"/>
      <c r="J284" s="1"/>
      <c r="K284" s="1"/>
      <c r="L284" s="1">
        <v>610.42882859999997</v>
      </c>
      <c r="M284" s="1">
        <v>148.36829879999999</v>
      </c>
      <c r="N284" s="1">
        <v>1087.5117170000001</v>
      </c>
      <c r="O284" s="1">
        <v>94.337319289999996</v>
      </c>
      <c r="P284" s="1">
        <v>463.1221908</v>
      </c>
      <c r="Q284" s="1"/>
      <c r="R284" s="1"/>
      <c r="S284" s="1"/>
      <c r="T284" s="1">
        <v>111.56320940000001</v>
      </c>
      <c r="U284" s="1">
        <v>524.14306220000003</v>
      </c>
      <c r="V284" s="1">
        <v>38.649789820000002</v>
      </c>
      <c r="W284" s="1"/>
      <c r="X284" s="1"/>
      <c r="Y284" s="1"/>
      <c r="Z284" s="1"/>
      <c r="AA284" s="1">
        <v>238.99769699999999</v>
      </c>
      <c r="AB284" s="1">
        <v>1.1559324900000001</v>
      </c>
      <c r="AC284" s="1">
        <v>236.5098065</v>
      </c>
      <c r="AD284" s="1">
        <v>16879.320169999999</v>
      </c>
      <c r="AE284" s="1"/>
      <c r="AF284" s="1">
        <v>274169.54359999998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>
      <c r="A285" s="1">
        <v>2008</v>
      </c>
      <c r="B285" s="1" t="s">
        <v>82</v>
      </c>
      <c r="C285" s="1" t="s">
        <v>100</v>
      </c>
      <c r="D285" s="1">
        <v>1404889</v>
      </c>
      <c r="E285" s="1">
        <v>6641.3870630000001</v>
      </c>
      <c r="F285" s="1">
        <v>972.26733509999997</v>
      </c>
      <c r="G285" s="1">
        <v>11317.546969999999</v>
      </c>
      <c r="H285" s="1">
        <v>91.634816990000004</v>
      </c>
      <c r="I285" s="1"/>
      <c r="J285" s="1"/>
      <c r="K285" s="1"/>
      <c r="L285" s="1">
        <v>192.82850490000001</v>
      </c>
      <c r="M285" s="1">
        <v>41.092341179999998</v>
      </c>
      <c r="N285" s="1">
        <v>153.1791565</v>
      </c>
      <c r="O285" s="1">
        <v>39.42084131</v>
      </c>
      <c r="P285" s="1">
        <v>51.494391350000001</v>
      </c>
      <c r="Q285" s="1"/>
      <c r="R285" s="1"/>
      <c r="S285" s="1"/>
      <c r="T285" s="1">
        <v>1039.3750950000001</v>
      </c>
      <c r="U285" s="1">
        <v>5030.7557349999997</v>
      </c>
      <c r="V285" s="1">
        <v>1.95256173</v>
      </c>
      <c r="W285" s="1"/>
      <c r="X285" s="1"/>
      <c r="Y285" s="1"/>
      <c r="Z285" s="1"/>
      <c r="AA285" s="1">
        <v>35.98089736</v>
      </c>
      <c r="AB285" s="1">
        <v>4.8269670000000001E-2</v>
      </c>
      <c r="AC285" s="1">
        <v>35.932817810000003</v>
      </c>
      <c r="AD285" s="1">
        <v>4237.9109150000004</v>
      </c>
      <c r="AE285" s="1"/>
      <c r="AF285" s="1">
        <v>77719.192609999998</v>
      </c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>
      <c r="A286" s="1">
        <v>2008</v>
      </c>
      <c r="B286" s="1" t="s">
        <v>82</v>
      </c>
      <c r="C286" s="1" t="s">
        <v>101</v>
      </c>
      <c r="D286" s="1">
        <v>2184281</v>
      </c>
      <c r="E286" s="1">
        <v>20109.92873</v>
      </c>
      <c r="F286" s="1">
        <v>1693.513287</v>
      </c>
      <c r="G286" s="1">
        <v>11769.104649999999</v>
      </c>
      <c r="H286" s="1">
        <v>356.2032092</v>
      </c>
      <c r="I286" s="1"/>
      <c r="J286" s="1"/>
      <c r="K286" s="1"/>
      <c r="L286" s="1">
        <v>756.17785860000004</v>
      </c>
      <c r="M286" s="1">
        <v>177.61152240000001</v>
      </c>
      <c r="N286" s="1">
        <v>495.13464249999998</v>
      </c>
      <c r="O286" s="1">
        <v>126.8871961</v>
      </c>
      <c r="P286" s="1">
        <v>204.34149550000001</v>
      </c>
      <c r="Q286" s="1"/>
      <c r="R286" s="1"/>
      <c r="S286" s="1"/>
      <c r="T286" s="1">
        <v>2880.8714340000001</v>
      </c>
      <c r="U286" s="1">
        <v>15113.343070000001</v>
      </c>
      <c r="V286" s="1">
        <v>0.35278917999999998</v>
      </c>
      <c r="W286" s="1"/>
      <c r="X286" s="1"/>
      <c r="Y286" s="1"/>
      <c r="Z286" s="1"/>
      <c r="AA286" s="1">
        <v>149.95232720000001</v>
      </c>
      <c r="AB286" s="1">
        <v>6.9886409999999996E-2</v>
      </c>
      <c r="AC286" s="1">
        <v>149.00748390000001</v>
      </c>
      <c r="AD286" s="1">
        <v>9254.411419</v>
      </c>
      <c r="AE286" s="1"/>
      <c r="AF286" s="1">
        <v>123840.6203</v>
      </c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>
      <c r="A287" s="1">
        <v>2008</v>
      </c>
      <c r="B287" s="1" t="s">
        <v>82</v>
      </c>
      <c r="C287" s="1" t="s">
        <v>102</v>
      </c>
      <c r="D287" s="1">
        <v>4475893</v>
      </c>
      <c r="E287" s="1">
        <v>69422.375450000007</v>
      </c>
      <c r="F287" s="1">
        <v>2689.692184</v>
      </c>
      <c r="G287" s="1">
        <v>14624.83036</v>
      </c>
      <c r="H287" s="1">
        <v>1515.3853180000001</v>
      </c>
      <c r="I287" s="1"/>
      <c r="J287" s="1"/>
      <c r="K287" s="1"/>
      <c r="L287" s="1">
        <v>2611.7413369999999</v>
      </c>
      <c r="M287" s="1">
        <v>665.15118819999998</v>
      </c>
      <c r="N287" s="1">
        <v>1308.920472</v>
      </c>
      <c r="O287" s="1">
        <v>327.63343450000002</v>
      </c>
      <c r="P287" s="1">
        <v>511.40351049999998</v>
      </c>
      <c r="Q287" s="1"/>
      <c r="R287" s="1"/>
      <c r="S287" s="1"/>
      <c r="T287" s="1">
        <v>9759.5167899999997</v>
      </c>
      <c r="U287" s="1">
        <v>52724.636059999997</v>
      </c>
      <c r="V287" s="1">
        <v>1.02413618</v>
      </c>
      <c r="W287" s="1"/>
      <c r="X287" s="1"/>
      <c r="Y287" s="1"/>
      <c r="Z287" s="1"/>
      <c r="AA287" s="1">
        <v>492.59760440000002</v>
      </c>
      <c r="AB287" s="1">
        <v>0.14667680999999999</v>
      </c>
      <c r="AC287" s="1">
        <v>494.02462600000001</v>
      </c>
      <c r="AD287" s="1">
        <v>13004.15892</v>
      </c>
      <c r="AE287" s="1"/>
      <c r="AF287" s="1">
        <v>222760.92850000001</v>
      </c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>
      <c r="A288" s="1">
        <v>2008</v>
      </c>
      <c r="B288" s="1" t="s">
        <v>82</v>
      </c>
      <c r="C288" s="1" t="s">
        <v>103</v>
      </c>
      <c r="D288" s="1">
        <v>8149420</v>
      </c>
      <c r="E288" s="1">
        <v>190539.0816</v>
      </c>
      <c r="F288" s="1">
        <v>9334.7846509999999</v>
      </c>
      <c r="G288" s="1">
        <v>28677.16519</v>
      </c>
      <c r="H288" s="1">
        <v>8495.9715730000007</v>
      </c>
      <c r="I288" s="1"/>
      <c r="J288" s="1"/>
      <c r="K288" s="1"/>
      <c r="L288" s="1">
        <v>10385.28746</v>
      </c>
      <c r="M288" s="1">
        <v>5197.7568579999997</v>
      </c>
      <c r="N288" s="1">
        <v>9475.2048070000001</v>
      </c>
      <c r="O288" s="1">
        <v>1783.4137760000001</v>
      </c>
      <c r="P288" s="1">
        <v>1609.2135699999999</v>
      </c>
      <c r="Q288" s="1"/>
      <c r="R288" s="1"/>
      <c r="S288" s="1"/>
      <c r="T288" s="1">
        <v>18482.32863</v>
      </c>
      <c r="U288" s="1">
        <v>135114.14360000001</v>
      </c>
      <c r="V288" s="1">
        <v>1535.510871</v>
      </c>
      <c r="W288" s="1"/>
      <c r="X288" s="1"/>
      <c r="Y288" s="1"/>
      <c r="Z288" s="1"/>
      <c r="AA288" s="1">
        <v>4360.6888580000004</v>
      </c>
      <c r="AB288" s="1">
        <v>327.82343550000002</v>
      </c>
      <c r="AC288" s="1">
        <v>3172.5138019999999</v>
      </c>
      <c r="AD288" s="1">
        <v>35443.468130000001</v>
      </c>
      <c r="AE288" s="1"/>
      <c r="AF288" s="1">
        <v>480688.43520000001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>
      <c r="A289" s="1">
        <v>2008</v>
      </c>
      <c r="B289" s="1" t="s">
        <v>82</v>
      </c>
      <c r="C289" s="1" t="s">
        <v>104</v>
      </c>
      <c r="D289" s="1">
        <v>3148996</v>
      </c>
      <c r="E289" s="1">
        <v>138620.8726</v>
      </c>
      <c r="F289" s="1">
        <v>8839.1182950000002</v>
      </c>
      <c r="G289" s="1">
        <v>28916.018359999998</v>
      </c>
      <c r="H289" s="1">
        <v>6815.3563960000001</v>
      </c>
      <c r="I289" s="1"/>
      <c r="J289" s="1"/>
      <c r="K289" s="1"/>
      <c r="L289" s="1">
        <v>4986.72001</v>
      </c>
      <c r="M289" s="1">
        <v>3731.4171500000002</v>
      </c>
      <c r="N289" s="1">
        <v>8631.9561620000004</v>
      </c>
      <c r="O289" s="1">
        <v>1480.6365860000001</v>
      </c>
      <c r="P289" s="1">
        <v>1453.6375869999999</v>
      </c>
      <c r="Q289" s="1"/>
      <c r="R289" s="1"/>
      <c r="S289" s="1"/>
      <c r="T289" s="1">
        <v>12616.01793</v>
      </c>
      <c r="U289" s="1">
        <v>98906.484630000006</v>
      </c>
      <c r="V289" s="1">
        <v>8346.7442150000006</v>
      </c>
      <c r="W289" s="1"/>
      <c r="X289" s="1"/>
      <c r="Y289" s="1"/>
      <c r="Z289" s="1"/>
      <c r="AA289" s="1">
        <v>9913.514889</v>
      </c>
      <c r="AB289" s="1">
        <v>1511.0778459999999</v>
      </c>
      <c r="AC289" s="1">
        <v>3153.964438</v>
      </c>
      <c r="AD289" s="1">
        <v>44756.975100000003</v>
      </c>
      <c r="AE289" s="1"/>
      <c r="AF289" s="1">
        <v>424753.15970000002</v>
      </c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>
      <c r="A290" s="1">
        <v>2008</v>
      </c>
      <c r="B290" s="1" t="s">
        <v>82</v>
      </c>
      <c r="C290" s="1" t="s">
        <v>105</v>
      </c>
      <c r="D290" s="1">
        <v>1348219</v>
      </c>
      <c r="E290" s="1">
        <v>111794.0411</v>
      </c>
      <c r="F290" s="1">
        <v>9919.8060609999993</v>
      </c>
      <c r="G290" s="1">
        <v>23176.665929999999</v>
      </c>
      <c r="H290" s="1">
        <v>6121.7854269999998</v>
      </c>
      <c r="I290" s="1"/>
      <c r="J290" s="1"/>
      <c r="K290" s="1"/>
      <c r="L290" s="1">
        <v>2342.2803279999998</v>
      </c>
      <c r="M290" s="1">
        <v>2183.8716319999999</v>
      </c>
      <c r="N290" s="1">
        <v>6525.0697760000003</v>
      </c>
      <c r="O290" s="1">
        <v>1386.797288</v>
      </c>
      <c r="P290" s="1">
        <v>1472.0968820000001</v>
      </c>
      <c r="Q290" s="1"/>
      <c r="R290" s="1"/>
      <c r="S290" s="1"/>
      <c r="T290" s="1">
        <v>6495.3552790000003</v>
      </c>
      <c r="U290" s="1">
        <v>85268.664220000006</v>
      </c>
      <c r="V290" s="1">
        <v>14858.24883</v>
      </c>
      <c r="W290" s="1"/>
      <c r="X290" s="1"/>
      <c r="Y290" s="1"/>
      <c r="Z290" s="1"/>
      <c r="AA290" s="1">
        <v>14929.09843</v>
      </c>
      <c r="AB290" s="1">
        <v>1801.6898819999999</v>
      </c>
      <c r="AC290" s="1">
        <v>1942.460043</v>
      </c>
      <c r="AD290" s="1">
        <v>24578.278969999999</v>
      </c>
      <c r="AE290" s="1"/>
      <c r="AF290" s="1">
        <v>349425.60090000002</v>
      </c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>
      <c r="A291" s="1">
        <v>2008</v>
      </c>
      <c r="B291" s="1" t="s">
        <v>82</v>
      </c>
      <c r="C291" s="1" t="s">
        <v>106</v>
      </c>
      <c r="D291" s="1">
        <v>586508</v>
      </c>
      <c r="E291" s="1">
        <v>88248.435150000005</v>
      </c>
      <c r="F291" s="1">
        <v>11235.904399999999</v>
      </c>
      <c r="G291" s="1">
        <v>20980.87775</v>
      </c>
      <c r="H291" s="1">
        <v>5831.8538010000002</v>
      </c>
      <c r="I291" s="1"/>
      <c r="J291" s="1"/>
      <c r="K291" s="1"/>
      <c r="L291" s="1">
        <v>1088.0254870000001</v>
      </c>
      <c r="M291" s="1">
        <v>1031.604165</v>
      </c>
      <c r="N291" s="1">
        <v>4093.4201880000001</v>
      </c>
      <c r="O291" s="1">
        <v>1157.143309</v>
      </c>
      <c r="P291" s="1">
        <v>1029.8057879999999</v>
      </c>
      <c r="Q291" s="1"/>
      <c r="R291" s="1"/>
      <c r="S291" s="1"/>
      <c r="T291" s="1">
        <v>1459.673297</v>
      </c>
      <c r="U291" s="1">
        <v>72561.792019999993</v>
      </c>
      <c r="V291" s="1">
        <v>16181.97227</v>
      </c>
      <c r="W291" s="1"/>
      <c r="X291" s="1"/>
      <c r="Y291" s="1"/>
      <c r="Z291" s="1"/>
      <c r="AA291" s="1">
        <v>15599.52298</v>
      </c>
      <c r="AB291" s="1">
        <v>1488.6850039999999</v>
      </c>
      <c r="AC291" s="1">
        <v>970.37850939999998</v>
      </c>
      <c r="AD291" s="1">
        <v>18512.462950000001</v>
      </c>
      <c r="AE291" s="1"/>
      <c r="AF291" s="1">
        <v>304334.4376</v>
      </c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>
      <c r="A292" s="1">
        <v>2008</v>
      </c>
      <c r="B292" s="1" t="s">
        <v>82</v>
      </c>
      <c r="C292" s="1" t="s">
        <v>107</v>
      </c>
      <c r="D292" s="1">
        <v>157831</v>
      </c>
      <c r="E292" s="1">
        <v>43556.196490000002</v>
      </c>
      <c r="F292" s="1">
        <v>8557.8659480000006</v>
      </c>
      <c r="G292" s="1">
        <v>14960.69608</v>
      </c>
      <c r="H292" s="1">
        <v>2794.363527</v>
      </c>
      <c r="I292" s="1"/>
      <c r="J292" s="1"/>
      <c r="K292" s="1"/>
      <c r="L292" s="1">
        <v>302.24237840000001</v>
      </c>
      <c r="M292" s="1">
        <v>287.72740709999999</v>
      </c>
      <c r="N292" s="1">
        <v>1437.8265610000001</v>
      </c>
      <c r="O292" s="1">
        <v>648.95755829999996</v>
      </c>
      <c r="P292" s="1">
        <v>393.97363799999999</v>
      </c>
      <c r="Q292" s="1"/>
      <c r="R292" s="1"/>
      <c r="S292" s="1"/>
      <c r="T292" s="1">
        <v>247.99477909999999</v>
      </c>
      <c r="U292" s="1">
        <v>37444.608990000001</v>
      </c>
      <c r="V292" s="1">
        <v>9271.3748500000002</v>
      </c>
      <c r="W292" s="1"/>
      <c r="X292" s="1"/>
      <c r="Y292" s="1"/>
      <c r="Z292" s="1"/>
      <c r="AA292" s="1">
        <v>8826.0159390000008</v>
      </c>
      <c r="AB292" s="1">
        <v>734.32656910000003</v>
      </c>
      <c r="AC292" s="1">
        <v>349.32617329999999</v>
      </c>
      <c r="AD292" s="1">
        <v>10353.601860000001</v>
      </c>
      <c r="AE292" s="1"/>
      <c r="AF292" s="1">
        <v>190764.0857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>
      <c r="A293" s="1">
        <v>2008</v>
      </c>
      <c r="B293" s="1" t="s">
        <v>82</v>
      </c>
      <c r="C293" s="1" t="s">
        <v>108</v>
      </c>
      <c r="D293" s="1">
        <v>23490</v>
      </c>
      <c r="E293" s="1">
        <v>12672.75503</v>
      </c>
      <c r="F293" s="1">
        <v>6392.9451399999998</v>
      </c>
      <c r="G293" s="1">
        <v>8172.216512</v>
      </c>
      <c r="H293" s="1">
        <v>441.86841509999999</v>
      </c>
      <c r="I293" s="1"/>
      <c r="J293" s="1"/>
      <c r="K293" s="1"/>
      <c r="L293" s="1">
        <v>44.039203200000003</v>
      </c>
      <c r="M293" s="1">
        <v>40.185678940000003</v>
      </c>
      <c r="N293" s="1">
        <v>236.59997240000001</v>
      </c>
      <c r="O293" s="1">
        <v>487.41462230000002</v>
      </c>
      <c r="P293" s="1">
        <v>78.849691359999994</v>
      </c>
      <c r="Q293" s="1"/>
      <c r="R293" s="1"/>
      <c r="S293" s="1"/>
      <c r="T293" s="1">
        <v>55.614655999999997</v>
      </c>
      <c r="U293" s="1">
        <v>11288.182790000001</v>
      </c>
      <c r="V293" s="1">
        <v>2949.0772659999998</v>
      </c>
      <c r="W293" s="1"/>
      <c r="X293" s="1"/>
      <c r="Y293" s="1"/>
      <c r="Z293" s="1"/>
      <c r="AA293" s="1">
        <v>2692.405366</v>
      </c>
      <c r="AB293" s="1">
        <v>304.23652770000001</v>
      </c>
      <c r="AC293" s="1">
        <v>88.71499129</v>
      </c>
      <c r="AD293" s="1">
        <v>3761.6909949999999</v>
      </c>
      <c r="AE293" s="1"/>
      <c r="AF293" s="1">
        <v>94998.887759999998</v>
      </c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>
      <c r="A294" s="7">
        <v>2008</v>
      </c>
      <c r="B294" s="7" t="s">
        <v>82</v>
      </c>
      <c r="C294" s="7" t="s">
        <v>109</v>
      </c>
      <c r="D294" s="7">
        <v>7613</v>
      </c>
      <c r="E294" s="7">
        <v>13287.487859999999</v>
      </c>
      <c r="F294" s="7">
        <v>9273.0825430000004</v>
      </c>
      <c r="G294" s="7">
        <v>9949.2547429999995</v>
      </c>
      <c r="H294" s="7">
        <v>273.10857829999998</v>
      </c>
      <c r="I294" s="7"/>
      <c r="J294" s="7"/>
      <c r="K294" s="7"/>
      <c r="L294" s="7">
        <v>15.9204762</v>
      </c>
      <c r="M294" s="7">
        <v>14.131051319999999</v>
      </c>
      <c r="N294" s="7">
        <v>103.10042110000001</v>
      </c>
      <c r="O294" s="7">
        <v>1216.396733</v>
      </c>
      <c r="P294" s="7">
        <v>54.948928240000001</v>
      </c>
      <c r="Q294" s="7"/>
      <c r="R294" s="7"/>
      <c r="S294" s="7"/>
      <c r="T294" s="7">
        <v>18.712181650000002</v>
      </c>
      <c r="U294" s="7">
        <v>11597.97992</v>
      </c>
      <c r="V294" s="7">
        <v>3126.6998739999999</v>
      </c>
      <c r="W294" s="7"/>
      <c r="X294" s="7"/>
      <c r="Y294" s="7"/>
      <c r="Z294" s="7"/>
      <c r="AA294" s="7">
        <v>2751.760311</v>
      </c>
      <c r="AB294" s="7">
        <v>409.16525309999997</v>
      </c>
      <c r="AC294" s="7">
        <v>64.299135210000003</v>
      </c>
      <c r="AD294" s="7">
        <v>7644.2899829999997</v>
      </c>
      <c r="AE294" s="7"/>
      <c r="AF294" s="7">
        <v>118044.01700000001</v>
      </c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zoomScaleNormal="100" workbookViewId="0">
      <selection activeCell="G14" sqref="G14"/>
    </sheetView>
  </sheetViews>
  <sheetFormatPr defaultColWidth="8.7109375" defaultRowHeight="15" customHeight="1"/>
  <cols>
    <col min="1" max="1" width="19.28515625" customWidth="1"/>
    <col min="2" max="2" width="30.85546875" customWidth="1"/>
    <col min="3" max="3" width="100" customWidth="1"/>
  </cols>
  <sheetData>
    <row r="1" spans="1:3">
      <c r="A1" s="6" t="s">
        <v>0</v>
      </c>
      <c r="B1" s="6" t="s">
        <v>3</v>
      </c>
      <c r="C1" s="6" t="s">
        <v>110</v>
      </c>
    </row>
    <row r="2" spans="1:3">
      <c r="A2">
        <v>2015</v>
      </c>
      <c r="B2" s="2">
        <f>SUMIFS(Dados!$D:$D,Dados!$A:$A,A2,Dados!$B:$B,"Masculino")+SUMIFS(Dados!$D:$D,Dados!$A:$A,A2,Dados!$B:$B,"Feminino")</f>
        <v>27512125.868731499</v>
      </c>
      <c r="C2">
        <f>SUMIFS(Dados!$D:$D,Dados!$A:$A,A2,Dados!$B:$B,"Masculino")+SUMIFS(Dados!$D:$D,Dados!$A:$A,A2,Dados!$B:$B,"Feminino")</f>
        <v>27512125.868731499</v>
      </c>
    </row>
    <row r="3" spans="1:3">
      <c r="A3">
        <v>2016</v>
      </c>
      <c r="B3" s="2">
        <f>SUMIFS(Dados!$D:$D,Dados!$A:$A,A3,Dados!$B:$B,"Masculino")+SUMIFS(Dados!$D:$D,Dados!$A:$A,A3,Dados!$B:$B,"Feminino")</f>
        <v>28913626</v>
      </c>
      <c r="C3">
        <f>SUMIFS(Dados!$D:$D,Dados!$A:$A,A3,Dados!$B:$B,"Masculino")+SUMIFS(Dados!$D:$D,Dados!$A:$A,A3,Dados!$B:$B,"Feminino")</f>
        <v>28913626</v>
      </c>
    </row>
    <row r="4" spans="1:3">
      <c r="A4">
        <v>2017</v>
      </c>
      <c r="B4" s="2">
        <f>SUMIFS(Dados!$D:$D,Dados!$A:$A,A4,Dados!$B:$B,"Masculino")+SUMIFS(Dados!$D:$D,Dados!$A:$A,A4,Dados!$B:$B,"Feminino")</f>
        <v>29600355</v>
      </c>
      <c r="C4">
        <f>SUMIFS(Dados!$D:$D,Dados!$A:$A,A4,Dados!$B:$B,"Masculino")+SUMIFS(Dados!$D:$D,Dados!$A:$A,A4,Dados!$B:$B,"Feminino")</f>
        <v>29600355</v>
      </c>
    </row>
    <row r="5" spans="1:3">
      <c r="A5">
        <v>2018</v>
      </c>
      <c r="B5" s="2">
        <f>SUMIFS(Dados!$D:$D,Dados!$A:$A,A5,Dados!$B:$B,"Masculino")+SUMIFS(Dados!$D:$D,Dados!$A:$A,A5,Dados!$B:$B,"Feminino")</f>
        <v>30449617</v>
      </c>
      <c r="C5">
        <f>SUMIFS(Dados!$D:$D,Dados!$A:$A,A5,Dados!$B:$B,"Masculino")+SUMIFS(Dados!$D:$D,Dados!$A:$A,A5,Dados!$B:$B,"Feminino")</f>
        <v>30449617</v>
      </c>
    </row>
    <row r="6" spans="1:3">
      <c r="A6">
        <v>2019</v>
      </c>
      <c r="B6" s="2">
        <f>SUMIFS(Dados!$D:$D,Dados!$A:$A,A6,Dados!$B:$B,"Masculino")+SUMIFS(Dados!$D:$D,Dados!$A:$A,A6,Dados!$B:$B,"Feminino")</f>
        <v>30495796</v>
      </c>
      <c r="C6">
        <f>SUMIFS(Dados!$D:$D,Dados!$A:$A,A6,Dados!$B:$B,"Masculino")+SUMIFS(Dados!$D:$D,Dados!$A:$A,A6,Dados!$B:$B,"Feminino")</f>
        <v>30495796</v>
      </c>
    </row>
    <row r="7" spans="1:3">
      <c r="A7">
        <v>2020</v>
      </c>
      <c r="B7" s="2">
        <f>SUMIFS(Dados!$D:$D,Dados!$A:$A,A7,Dados!$B:$B,"Masculino")+SUMIFS(Dados!$D:$D,Dados!$A:$A,A7,Dados!$B:$B,"Feminino")</f>
        <v>31632151</v>
      </c>
      <c r="C7">
        <f>SUMIFS(Dados!$D:$D,Dados!$A:$A,A7,Dados!$B:$B,"Masculino")+SUMIFS(Dados!$D:$D,Dados!$A:$A,A7,Dados!$B:$B,"Feminino")</f>
        <v>31632151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zoomScaleNormal="100" workbookViewId="0">
      <selection activeCell="F16" sqref="F16"/>
    </sheetView>
  </sheetViews>
  <sheetFormatPr defaultColWidth="8.7109375" defaultRowHeight="15" customHeight="1"/>
  <cols>
    <col min="1" max="1" width="15" customWidth="1"/>
    <col min="2" max="2" width="30.85546875" bestFit="1" customWidth="1"/>
    <col min="3" max="3" width="90" customWidth="1"/>
  </cols>
  <sheetData>
    <row r="1" spans="1:3">
      <c r="A1" s="6" t="s">
        <v>1</v>
      </c>
      <c r="B1" s="6" t="s">
        <v>3</v>
      </c>
      <c r="C1" s="6" t="s">
        <v>110</v>
      </c>
    </row>
    <row r="2" spans="1:3">
      <c r="A2" t="s">
        <v>62</v>
      </c>
      <c r="B2" s="2">
        <f>SUMIFS(Dados!$D:$D,Dados!$A:$A,2020,Dados!$B:$B,A2)</f>
        <v>13762031</v>
      </c>
      <c r="C2">
        <f>SUMIFS(Dados!$D:$D,Dados!$A:$A,2020,Dados!$B:$B,A2)</f>
        <v>13762031</v>
      </c>
    </row>
    <row r="3" spans="1:3">
      <c r="A3" t="s">
        <v>44</v>
      </c>
      <c r="B3" s="2">
        <f>SUMIFS(Dados!$D:$D,Dados!$A:$A,2020,Dados!$B:$B,A3)</f>
        <v>17870120</v>
      </c>
      <c r="C3">
        <f>SUMIFS(Dados!$D:$D,Dados!$A:$A,2020,Dados!$B:$B,A3)</f>
        <v>17870120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zoomScaleNormal="100" workbookViewId="0">
      <selection activeCell="G4" sqref="G4"/>
    </sheetView>
  </sheetViews>
  <sheetFormatPr defaultColWidth="8.7109375" defaultRowHeight="15" customHeight="1"/>
  <cols>
    <col min="1" max="1" width="28" customWidth="1"/>
    <col min="2" max="2" width="30.85546875" customWidth="1"/>
    <col min="3" max="3" width="100" customWidth="1"/>
  </cols>
  <sheetData>
    <row r="1" spans="1:3">
      <c r="A1" s="6" t="s">
        <v>2</v>
      </c>
      <c r="B1" s="6" t="s">
        <v>3</v>
      </c>
      <c r="C1" s="6" t="s">
        <v>110</v>
      </c>
    </row>
    <row r="2" spans="1:3">
      <c r="A2" t="s">
        <v>45</v>
      </c>
      <c r="B2" s="2">
        <f>SUMIFS(Dados!$D:$D,Dados!$A:$A,2020,Dados!$C:$C,A2,Dados!$B:$B,"Masculino")+SUMIFS(Dados!$D:$D,Dados!$A:$A,2020,Dados!$C:$C,A2,Dados!$B:$B,"Feminino")</f>
        <v>3301933</v>
      </c>
      <c r="C2">
        <f>SUMIFS(Dados!$D:$D,Dados!$A:$A,2020,Dados!$C:$C,A2,Dados!$B:$B,"Masculino")+SUMIFS(Dados!$D:$D,Dados!$A:$A,2020,Dados!$C:$C,A2,Dados!$B:$B,"Feminino")</f>
        <v>3301933</v>
      </c>
    </row>
    <row r="3" spans="1:3">
      <c r="A3" t="s">
        <v>46</v>
      </c>
      <c r="B3" s="2">
        <f>SUMIFS(Dados!$D:$D,Dados!$A:$A,2020,Dados!$C:$C,A3,Dados!$B:$B,"Masculino")+SUMIFS(Dados!$D:$D,Dados!$A:$A,2020,Dados!$C:$C,A3,Dados!$B:$B,"Feminino")</f>
        <v>2094637</v>
      </c>
      <c r="C3">
        <f>SUMIFS(Dados!$D:$D,Dados!$A:$A,2020,Dados!$C:$C,A3,Dados!$B:$B,"Masculino")+SUMIFS(Dados!$D:$D,Dados!$A:$A,2020,Dados!$C:$C,A3,Dados!$B:$B,"Feminino")</f>
        <v>2094637</v>
      </c>
    </row>
    <row r="4" spans="1:3">
      <c r="A4" t="s">
        <v>47</v>
      </c>
      <c r="B4" s="2">
        <f>SUMIFS(Dados!$D:$D,Dados!$A:$A,2020,Dados!$C:$C,A4,Dados!$B:$B,"Masculino")+SUMIFS(Dados!$D:$D,Dados!$A:$A,2020,Dados!$C:$C,A4,Dados!$B:$B,"Feminino")</f>
        <v>7480081</v>
      </c>
      <c r="C4">
        <f>SUMIFS(Dados!$D:$D,Dados!$A:$A,2020,Dados!$C:$C,A4,Dados!$B:$B,"Masculino")+SUMIFS(Dados!$D:$D,Dados!$A:$A,2020,Dados!$C:$C,A4,Dados!$B:$B,"Feminino")</f>
        <v>7480081</v>
      </c>
    </row>
    <row r="5" spans="1:3">
      <c r="A5" t="s">
        <v>48</v>
      </c>
      <c r="B5" s="2">
        <f>SUMIFS(Dados!$D:$D,Dados!$A:$A,2020,Dados!$C:$C,A5,Dados!$B:$B,"Masculino")+SUMIFS(Dados!$D:$D,Dados!$A:$A,2020,Dados!$C:$C,A5,Dados!$B:$B,"Feminino")</f>
        <v>6680718</v>
      </c>
      <c r="C5">
        <f>SUMIFS(Dados!$D:$D,Dados!$A:$A,2020,Dados!$C:$C,A5,Dados!$B:$B,"Masculino")+SUMIFS(Dados!$D:$D,Dados!$A:$A,2020,Dados!$C:$C,A5,Dados!$B:$B,"Feminino")</f>
        <v>6680718</v>
      </c>
    </row>
    <row r="6" spans="1:3">
      <c r="A6" t="s">
        <v>49</v>
      </c>
      <c r="B6" s="2">
        <f>SUMIFS(Dados!$D:$D,Dados!$A:$A,2020,Dados!$C:$C,A6,Dados!$B:$B,"Masculino")+SUMIFS(Dados!$D:$D,Dados!$A:$A,2020,Dados!$C:$C,A6,Dados!$B:$B,"Feminino")</f>
        <v>5904544</v>
      </c>
      <c r="C6">
        <f>SUMIFS(Dados!$D:$D,Dados!$A:$A,2020,Dados!$C:$C,A6,Dados!$B:$B,"Masculino")+SUMIFS(Dados!$D:$D,Dados!$A:$A,2020,Dados!$C:$C,A6,Dados!$B:$B,"Feminino")</f>
        <v>5904544</v>
      </c>
    </row>
    <row r="7" spans="1:3">
      <c r="A7" s="3" t="s">
        <v>111</v>
      </c>
      <c r="B7" s="4">
        <f>SUM(B2:B6)</f>
        <v>25461913</v>
      </c>
      <c r="C7">
        <f>SUM(B2:B6)</f>
        <v>25461913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zoomScaleNormal="100" workbookViewId="0">
      <selection activeCell="I7" sqref="I7"/>
    </sheetView>
  </sheetViews>
  <sheetFormatPr defaultColWidth="8.7109375" defaultRowHeight="15" customHeight="1"/>
  <cols>
    <col min="1" max="1" width="15" customWidth="1"/>
    <col min="2" max="2" width="28.7109375" bestFit="1" customWidth="1"/>
    <col min="3" max="3" width="90" customWidth="1"/>
  </cols>
  <sheetData>
    <row r="1" spans="1:3">
      <c r="A1" s="6" t="s">
        <v>1</v>
      </c>
      <c r="B1" s="6" t="s">
        <v>4</v>
      </c>
      <c r="C1" s="6" t="s">
        <v>110</v>
      </c>
    </row>
    <row r="2" spans="1:3">
      <c r="A2" t="s">
        <v>62</v>
      </c>
      <c r="B2" s="5">
        <f>SUMIFS(Dados!$E:$E,Dados!$A:$A,2020,Dados!$B:$B,A2)</f>
        <v>826670.3185831001</v>
      </c>
      <c r="C2">
        <f>SUMIFS(Dados!$E:$E,Dados!$A:$A,2020,Dados!$B:$B,A2)</f>
        <v>826670.3185831001</v>
      </c>
    </row>
    <row r="3" spans="1:3">
      <c r="A3" t="s">
        <v>44</v>
      </c>
      <c r="B3" s="5">
        <f>SUMIFS(Dados!$E:$E,Dados!$A:$A,2020,Dados!$B:$B,A3)</f>
        <v>1148602.2804989999</v>
      </c>
      <c r="C3">
        <f>SUMIFS(Dados!$E:$E,Dados!$A:$A,2020,Dados!$B:$B,A3)</f>
        <v>1148602.2804989999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zoomScaleNormal="100" workbookViewId="0">
      <selection activeCell="E13" sqref="E13"/>
    </sheetView>
  </sheetViews>
  <sheetFormatPr defaultColWidth="8.7109375" defaultRowHeight="15" customHeight="1"/>
  <cols>
    <col min="1" max="1" width="12" customWidth="1"/>
    <col min="2" max="3" width="22" customWidth="1"/>
    <col min="4" max="5" width="70" customWidth="1"/>
  </cols>
  <sheetData>
    <row r="1" spans="1:5">
      <c r="A1" s="6" t="s">
        <v>112</v>
      </c>
      <c r="B1" s="6" t="s">
        <v>62</v>
      </c>
      <c r="C1" s="6" t="s">
        <v>44</v>
      </c>
      <c r="D1" s="6" t="s">
        <v>113</v>
      </c>
      <c r="E1" s="6" t="s">
        <v>114</v>
      </c>
    </row>
    <row r="2" spans="1:5">
      <c r="A2">
        <v>2015</v>
      </c>
      <c r="B2" s="2">
        <f>SUMIFS(Dados!$D:$D,Dados!$A:$A,A2,Dados!$B:$B,"Feminino")</f>
        <v>11613399.050252501</v>
      </c>
      <c r="C2" s="2">
        <f>SUMIFS(Dados!$D:$D,Dados!$A:$A,A2,Dados!$B:$B,"Masculino")</f>
        <v>15898726.818478998</v>
      </c>
      <c r="D2">
        <f>SUMIFS(Dados!$D:$D,Dados!$A:$A,A2,Dados!$B:$B,"Feminino")</f>
        <v>11613399.050252501</v>
      </c>
      <c r="E2">
        <f>SUMIFS(Dados!$D:$D,Dados!$A:$A,A2,Dados!$B:$B,"Masculino")</f>
        <v>15898726.818478998</v>
      </c>
    </row>
    <row r="3" spans="1:5">
      <c r="A3">
        <v>2016</v>
      </c>
      <c r="B3" s="2">
        <f>SUMIFS(Dados!$D:$D,Dados!$A:$A,A3,Dados!$B:$B,"Feminino")</f>
        <v>12274360</v>
      </c>
      <c r="C3" s="2">
        <f>SUMIFS(Dados!$D:$D,Dados!$A:$A,A3,Dados!$B:$B,"Masculino")</f>
        <v>16639266</v>
      </c>
      <c r="D3">
        <f>SUMIFS(Dados!$D:$D,Dados!$A:$A,A3,Dados!$B:$B,"Feminino")</f>
        <v>12274360</v>
      </c>
      <c r="E3">
        <f>SUMIFS(Dados!$D:$D,Dados!$A:$A,A3,Dados!$B:$B,"Masculino")</f>
        <v>16639266</v>
      </c>
    </row>
    <row r="4" spans="1:5">
      <c r="A4">
        <v>2017</v>
      </c>
      <c r="B4" s="2">
        <f>SUMIFS(Dados!$D:$D,Dados!$A:$A,A4,Dados!$B:$B,"Feminino")</f>
        <v>12642906</v>
      </c>
      <c r="C4" s="2">
        <f>SUMIFS(Dados!$D:$D,Dados!$A:$A,A4,Dados!$B:$B,"Masculino")</f>
        <v>16957449</v>
      </c>
      <c r="D4">
        <f>SUMIFS(Dados!$D:$D,Dados!$A:$A,A4,Dados!$B:$B,"Feminino")</f>
        <v>12642906</v>
      </c>
      <c r="E4">
        <f>SUMIFS(Dados!$D:$D,Dados!$A:$A,A4,Dados!$B:$B,"Masculino")</f>
        <v>16957449</v>
      </c>
    </row>
    <row r="5" spans="1:5">
      <c r="A5">
        <v>2018</v>
      </c>
      <c r="B5" s="2">
        <f>SUMIFS(Dados!$D:$D,Dados!$A:$A,A5,Dados!$B:$B,"Feminino")</f>
        <v>13083422</v>
      </c>
      <c r="C5" s="2">
        <f>SUMIFS(Dados!$D:$D,Dados!$A:$A,A5,Dados!$B:$B,"Masculino")</f>
        <v>17366195</v>
      </c>
      <c r="D5">
        <f>SUMIFS(Dados!$D:$D,Dados!$A:$A,A5,Dados!$B:$B,"Feminino")</f>
        <v>13083422</v>
      </c>
      <c r="E5">
        <f>SUMIFS(Dados!$D:$D,Dados!$A:$A,A5,Dados!$B:$B,"Masculino")</f>
        <v>17366195</v>
      </c>
    </row>
    <row r="6" spans="1:5">
      <c r="A6">
        <v>2019</v>
      </c>
      <c r="B6" s="2">
        <f>SUMIFS(Dados!$D:$D,Dados!$A:$A,A6,Dados!$B:$B,"Feminino")</f>
        <v>13217943</v>
      </c>
      <c r="C6" s="2">
        <f>SUMIFS(Dados!$D:$D,Dados!$A:$A,A6,Dados!$B:$B,"Masculino")</f>
        <v>17277853</v>
      </c>
      <c r="D6">
        <f>SUMIFS(Dados!$D:$D,Dados!$A:$A,A6,Dados!$B:$B,"Feminino")</f>
        <v>13217943</v>
      </c>
      <c r="E6">
        <f>SUMIFS(Dados!$D:$D,Dados!$A:$A,A6,Dados!$B:$B,"Masculino")</f>
        <v>17277853</v>
      </c>
    </row>
    <row r="7" spans="1:5">
      <c r="A7">
        <v>2020</v>
      </c>
      <c r="B7" s="2">
        <f>SUMIFS(Dados!$D:$D,Dados!$A:$A,A7,Dados!$B:$B,"Feminino")</f>
        <v>13762031</v>
      </c>
      <c r="C7" s="2">
        <f>SUMIFS(Dados!$D:$D,Dados!$A:$A,A7,Dados!$B:$B,"Masculino")</f>
        <v>17870120</v>
      </c>
      <c r="D7">
        <f>SUMIFS(Dados!$D:$D,Dados!$A:$A,A7,Dados!$B:$B,"Feminino")</f>
        <v>13762031</v>
      </c>
      <c r="E7">
        <f>SUMIFS(Dados!$D:$D,Dados!$A:$A,A7,Dados!$B:$B,"Masculino")</f>
        <v>17870120</v>
      </c>
    </row>
    <row r="8" spans="1:5">
      <c r="B8" s="2"/>
      <c r="C8" s="2"/>
    </row>
    <row r="9" spans="1:5">
      <c r="A9" s="3" t="s">
        <v>115</v>
      </c>
      <c r="B9" s="4">
        <f>AVERAGE(B2:B7)</f>
        <v>12765676.84170875</v>
      </c>
      <c r="C9" s="4">
        <f>AVERAGE(C2:C7)</f>
        <v>17001601.636413168</v>
      </c>
      <c r="D9">
        <f>AVERAGE(B2:B7)</f>
        <v>12765676.84170875</v>
      </c>
      <c r="E9">
        <f>AVERAGE(C2:C7)</f>
        <v>17001601.636413168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2026-09-07T23:25:52Z</dcterms:created>
  <dcterms:modified xsi:type="dcterms:W3CDTF">2026-09-26T00:15:07Z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2026-09-07T17:53:02Z</dcterms:created>
  <dc:creator>openpyxl</dc:creator>
  <dc:description/>
  <dc:language>en-US</dc:language>
  <cp:lastModifiedBy>X</cp:lastModifiedBy>
  <dcterms:modified xsi:type="dcterms:W3CDTF">2026-09-07T23:03:12Z</dcterms:modified>
  <cp:revision>0</cp:revision>
  <dc:subject/>
  <dc:title/>
</cp:coreProperties>
</file>